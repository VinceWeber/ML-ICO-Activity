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EAF49AB3-1015-42AF-AAAC-2A9010FC3F86}" xr6:coauthVersionLast="47" xr6:coauthVersionMax="47" xr10:uidLastSave="{00000000-0000-0000-0000-000000000000}"/>
  <bookViews>
    <workbookView xWindow="38250" yWindow="-16320" windowWidth="29040" windowHeight="15720" activeTab="1" xr2:uid="{00000000-000D-0000-FFFF-FFFF00000000}"/>
  </bookViews>
  <sheets>
    <sheet name="Sheet1" sheetId="3" r:id="rId1"/>
    <sheet name="Config_batch" sheetId="2" r:id="rId2"/>
  </sheets>
  <definedNames>
    <definedName name="_xlnm._FilterDatabase" localSheetId="1" hidden="1">Config_batch!$B$1:$W$64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F4" i="2"/>
  <c r="G4" i="2" s="1"/>
  <c r="H4" i="2" s="1"/>
  <c r="I4" i="2" s="1"/>
  <c r="J4" i="2" s="1"/>
  <c r="K4" i="2" s="1"/>
  <c r="L4" i="2" s="1"/>
  <c r="M4" i="2" s="1"/>
  <c r="N4" i="2" s="1"/>
  <c r="D4" i="2"/>
  <c r="D71" i="2"/>
  <c r="E71" i="2"/>
  <c r="F71" i="2" s="1"/>
  <c r="G71" i="2" s="1"/>
  <c r="H71" i="2" s="1"/>
  <c r="I71" i="2" s="1"/>
  <c r="J71" i="2" s="1"/>
  <c r="K71" i="2" s="1"/>
  <c r="L71" i="2" s="1"/>
  <c r="M71" i="2" s="1"/>
  <c r="N71" i="2" s="1"/>
  <c r="O71" i="2" s="1"/>
  <c r="P71" i="2" s="1"/>
  <c r="Q71" i="2" s="1"/>
  <c r="R71" i="2" s="1"/>
  <c r="D73" i="2"/>
  <c r="E73" i="2"/>
  <c r="F73" i="2" s="1"/>
  <c r="G73" i="2" s="1"/>
  <c r="H73" i="2" s="1"/>
  <c r="I73" i="2" s="1"/>
  <c r="J73" i="2" s="1"/>
  <c r="K73" i="2" s="1"/>
  <c r="L73" i="2" s="1"/>
  <c r="M73" i="2" s="1"/>
  <c r="N73" i="2" s="1"/>
  <c r="O73" i="2" s="1"/>
  <c r="P73" i="2" s="1"/>
  <c r="Q73" i="2" s="1"/>
  <c r="R73" i="2" s="1"/>
  <c r="D74" i="2"/>
  <c r="E74" i="2" s="1"/>
  <c r="F74" i="2" s="1"/>
  <c r="G74" i="2" s="1"/>
  <c r="H74" i="2" s="1"/>
  <c r="I74" i="2" s="1"/>
  <c r="J74" i="2" s="1"/>
  <c r="K74" i="2" s="1"/>
  <c r="L74" i="2" s="1"/>
  <c r="M74" i="2" s="1"/>
  <c r="N74" i="2" s="1"/>
  <c r="O74" i="2" s="1"/>
  <c r="P74" i="2" s="1"/>
  <c r="Q74" i="2" s="1"/>
  <c r="R74" i="2" s="1"/>
  <c r="D70" i="2"/>
  <c r="E70" i="2" s="1"/>
  <c r="F70" i="2" s="1"/>
  <c r="G70" i="2" s="1"/>
  <c r="H70" i="2" s="1"/>
  <c r="I70" i="2" s="1"/>
  <c r="J70" i="2" s="1"/>
  <c r="K70" i="2" s="1"/>
  <c r="L70" i="2" s="1"/>
  <c r="M70" i="2" s="1"/>
  <c r="N70" i="2" s="1"/>
  <c r="O70" i="2" s="1"/>
  <c r="P70" i="2" s="1"/>
  <c r="Q70" i="2" s="1"/>
  <c r="R70" i="2" s="1"/>
  <c r="C71" i="2"/>
  <c r="H58" i="2"/>
  <c r="H66" i="2" s="1"/>
  <c r="I58" i="2"/>
  <c r="I66" i="2" s="1"/>
  <c r="J58" i="2"/>
  <c r="J66" i="2" s="1"/>
  <c r="K58" i="2"/>
  <c r="K66" i="2" s="1"/>
  <c r="C58" i="2"/>
  <c r="C66" i="2" s="1"/>
  <c r="D46" i="2"/>
  <c r="D68" i="2" s="1"/>
  <c r="F46" i="2"/>
  <c r="F68" i="2" s="1"/>
  <c r="G46" i="2"/>
  <c r="D49" i="2"/>
  <c r="D65" i="2" s="1"/>
  <c r="E49" i="2"/>
  <c r="E65" i="2" s="1"/>
  <c r="F49" i="2"/>
  <c r="F65" i="2" s="1"/>
  <c r="G49" i="2"/>
  <c r="G65" i="2" s="1"/>
  <c r="H49" i="2"/>
  <c r="H65" i="2" s="1"/>
  <c r="I49" i="2"/>
  <c r="I65" i="2" s="1"/>
  <c r="J49" i="2"/>
  <c r="J65" i="2" s="1"/>
  <c r="K49" i="2"/>
  <c r="K65" i="2" s="1"/>
  <c r="L49" i="2"/>
  <c r="L65" i="2" s="1"/>
  <c r="M49" i="2"/>
  <c r="M65" i="2" s="1"/>
  <c r="N49" i="2"/>
  <c r="N58" i="2" s="1"/>
  <c r="N66" i="2" s="1"/>
  <c r="C49" i="2"/>
  <c r="D40" i="2"/>
  <c r="D67" i="2" s="1"/>
  <c r="E40" i="2"/>
  <c r="E67" i="2" s="1"/>
  <c r="F40" i="2"/>
  <c r="F67" i="2" s="1"/>
  <c r="G40" i="2"/>
  <c r="G67" i="2" s="1"/>
  <c r="H40" i="2"/>
  <c r="H46" i="2" s="1"/>
  <c r="H68" i="2" s="1"/>
  <c r="I40" i="2"/>
  <c r="I67" i="2" s="1"/>
  <c r="J40" i="2"/>
  <c r="J67" i="2" s="1"/>
  <c r="K40" i="2"/>
  <c r="K67" i="2" s="1"/>
  <c r="L40" i="2"/>
  <c r="L67" i="2" s="1"/>
  <c r="M40" i="2"/>
  <c r="M67" i="2" s="1"/>
  <c r="N40" i="2"/>
  <c r="N46" i="2" s="1"/>
  <c r="N68" i="2" s="1"/>
  <c r="C40" i="2"/>
  <c r="C67" i="2" s="1"/>
  <c r="C65" i="2"/>
  <c r="D61" i="2"/>
  <c r="E61" i="2"/>
  <c r="F61" i="2"/>
  <c r="G61" i="2"/>
  <c r="H61" i="2"/>
  <c r="I61" i="2"/>
  <c r="J61" i="2"/>
  <c r="K61" i="2"/>
  <c r="L61" i="2"/>
  <c r="M61" i="2"/>
  <c r="N61" i="2"/>
  <c r="C61" i="2"/>
  <c r="G68" i="2"/>
  <c r="H67" i="2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N67" i="2"/>
  <c r="D3" i="2"/>
  <c r="E3" i="2" s="1"/>
  <c r="F3" i="2" s="1"/>
  <c r="G3" i="2" s="1"/>
  <c r="H3" i="2" s="1"/>
  <c r="I3" i="2" s="1"/>
  <c r="J3" i="2" s="1"/>
  <c r="K3" i="2" s="1"/>
  <c r="L3" i="2" s="1"/>
  <c r="M3" i="2" s="1"/>
  <c r="N3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0" i="2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5" i="2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2" i="2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N62" i="2" l="1"/>
  <c r="F58" i="2"/>
  <c r="F66" i="2" s="1"/>
  <c r="G58" i="2"/>
  <c r="G66" i="2" s="1"/>
  <c r="L46" i="2"/>
  <c r="L68" i="2" s="1"/>
  <c r="D58" i="2"/>
  <c r="D66" i="2" s="1"/>
  <c r="E58" i="2"/>
  <c r="E66" i="2" s="1"/>
  <c r="K46" i="2"/>
  <c r="K68" i="2" s="1"/>
  <c r="C46" i="2"/>
  <c r="C68" i="2" s="1"/>
  <c r="C72" i="2" s="1"/>
  <c r="D72" i="2" s="1"/>
  <c r="E72" i="2" s="1"/>
  <c r="F72" i="2" s="1"/>
  <c r="G72" i="2" s="1"/>
  <c r="H72" i="2" s="1"/>
  <c r="I72" i="2" s="1"/>
  <c r="J72" i="2" s="1"/>
  <c r="K72" i="2" s="1"/>
  <c r="L72" i="2" s="1"/>
  <c r="M72" i="2" s="1"/>
  <c r="N72" i="2" s="1"/>
  <c r="O72" i="2" s="1"/>
  <c r="P72" i="2" s="1"/>
  <c r="Q72" i="2" s="1"/>
  <c r="R72" i="2" s="1"/>
  <c r="M46" i="2"/>
  <c r="M68" i="2" s="1"/>
  <c r="J46" i="2"/>
  <c r="J68" i="2" s="1"/>
  <c r="I46" i="2"/>
  <c r="I68" i="2" s="1"/>
  <c r="N65" i="2"/>
  <c r="E46" i="2"/>
  <c r="E68" i="2" s="1"/>
  <c r="M58" i="2"/>
  <c r="M66" i="2" s="1"/>
  <c r="L58" i="2"/>
  <c r="L66" i="2" s="1"/>
  <c r="L62" i="2"/>
  <c r="K62" i="2"/>
  <c r="H62" i="2"/>
  <c r="J62" i="2"/>
  <c r="I62" i="2"/>
  <c r="C62" i="2"/>
  <c r="F62" i="2"/>
  <c r="G62" i="2"/>
  <c r="M62" i="2" l="1"/>
  <c r="E62" i="2"/>
  <c r="D62" i="2"/>
</calcChain>
</file>

<file path=xl/sharedStrings.xml><?xml version="1.0" encoding="utf-8"?>
<sst xmlns="http://schemas.openxmlformats.org/spreadsheetml/2006/main" count="358" uniqueCount="207">
  <si>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</si>
  <si>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</si>
  <si>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</si>
  <si>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</si>
  <si>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</si>
  <si>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</si>
  <si>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</si>
  <si>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</si>
  <si>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</si>
  <si>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</si>
  <si>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</si>
  <si>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</si>
  <si>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</si>
  <si>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</si>
  <si>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</si>
  <si>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</si>
  <si>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</si>
  <si>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</si>
  <si>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</si>
  <si>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</si>
  <si>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</si>
  <si>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</si>
  <si>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</si>
  <si>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</si>
  <si>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</si>
  <si>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</si>
  <si>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</si>
  <si>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</si>
  <si>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</si>
  <si>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</si>
  <si>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</si>
  <si>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</si>
  <si>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</si>
  <si>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</si>
  <si>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</si>
  <si>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</si>
  <si>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</si>
  <si>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</si>
  <si>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</si>
  <si>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</si>
  <si>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</si>
  <si>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</si>
  <si>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</si>
  <si>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</si>
  <si>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</si>
  <si>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</si>
  <si>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</si>
  <si>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</si>
  <si>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</si>
  <si>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</si>
  <si>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</si>
  <si>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</si>
  <si>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</si>
  <si>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</si>
  <si>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</si>
  <si>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</si>
  <si>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</si>
  <si>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</si>
  <si>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</si>
  <si>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</si>
  <si>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</si>
  <si>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</si>
  <si>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</si>
  <si>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</si>
  <si>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</si>
  <si>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</si>
  <si>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</si>
  <si>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</si>
  <si>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</si>
  <si>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</si>
  <si>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</si>
  <si>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</si>
  <si>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</si>
  <si>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</si>
  <si>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</si>
  <si>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</si>
  <si>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</si>
  <si>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KMeans</t>
  </si>
  <si>
    <t>ward</t>
  </si>
  <si>
    <t>None</t>
  </si>
  <si>
    <t>euclidean</t>
  </si>
  <si>
    <t>sakoechiba</t>
  </si>
  <si>
    <t>Max_J_V1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</si>
  <si>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</si>
  <si>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</si>
  <si>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</si>
  <si>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</si>
  <si>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</si>
  <si>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</si>
  <si>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</si>
  <si>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</si>
  <si>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</si>
  <si>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</si>
  <si>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</si>
  <si>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</si>
  <si>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</si>
  <si>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</si>
  <si>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</si>
  <si>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</si>
  <si>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</si>
  <si>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</si>
  <si>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</si>
  <si>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</si>
  <si>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</si>
  <si>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</si>
  <si>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</si>
  <si>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</si>
  <si>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</si>
  <si>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</si>
  <si>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</si>
  <si>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</si>
  <si>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</si>
  <si>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</si>
  <si>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</si>
  <si>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</si>
  <si>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</si>
  <si>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</si>
  <si>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</si>
  <si>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</si>
  <si>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</si>
  <si>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</si>
  <si>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</si>
  <si>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</si>
  <si>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</si>
  <si>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 xml:space="preserve">3 values 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</si>
  <si>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</si>
  <si>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</si>
  <si>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</si>
  <si>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</si>
  <si>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</si>
  <si>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</si>
  <si>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</si>
  <si>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</si>
  <si>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Clustering parcours_V1</t>
  </si>
  <si>
    <t>P_Table_Name</t>
  </si>
  <si>
    <t>T_Table_Name</t>
  </si>
  <si>
    <t>CPP_Clust1_T_name</t>
  </si>
  <si>
    <t>CPP_Clust2_T_name</t>
  </si>
  <si>
    <t>CPP_Clust1_name</t>
  </si>
  <si>
    <t>CPP_Clust2_name</t>
  </si>
  <si>
    <t>FPP_Plot</t>
  </si>
  <si>
    <t>FPP_Order</t>
  </si>
  <si>
    <t>FPP_Save_Tble_Name</t>
  </si>
  <si>
    <t>FPP_Requete</t>
  </si>
  <si>
    <t>FPP_Filter_df_col</t>
  </si>
  <si>
    <t>FPP_Filter_df_value</t>
  </si>
  <si>
    <t>FPP_Clust1_name</t>
  </si>
  <si>
    <t>FPP_Clust1_T_name</t>
  </si>
  <si>
    <t>FPP_Clust2_name</t>
  </si>
  <si>
    <t>FPP_Clust2_T_name</t>
  </si>
  <si>
    <t>FPP_Clust3_name</t>
  </si>
  <si>
    <t>FPP_Clust3_T_name</t>
  </si>
  <si>
    <t>AJOUTER LE TYPE DE FILTRE DANS LE CLUST NAME (VAL FILTER 1 et 2)</t>
  </si>
  <si>
    <t>Experiment_id</t>
  </si>
  <si>
    <t>My_id</t>
  </si>
  <si>
    <t>Aggreg_parameters</t>
  </si>
  <si>
    <t xml:space="preserve">    #PARAM1 = CHOICE = </t>
  </si>
  <si>
    <t>        #-- 0 : REPORT DAYLY turnover from stardate of calendar (1 column = 1 DAY), CURSOR LINES ARE DAYS</t>
  </si>
  <si>
    <t>    #-- 1 : REPORT WEEKLY turnover from stardate of calendar  (1 column = 1 WEEK), CURSOR LINES ARE WEEKS</t>
  </si>
  <si>
    <t>    #-- 2 : REPORT MONTHLY turnover from stardate of calendar  (1 column = 1 month), CURSOR LINES ARE MONTHS</t>
  </si>
  <si>
    <t>    #-- 3 : REPORT TRIMESTER turnover for the @YEAR (1 column = 3 months), CURSOR LINES ARE TRIMESTERS</t>
  </si>
  <si>
    <t>    #-- 4 : REPORT ALL YEAR turnovers (1 column = 1 Year), CURSOR LINES ARE YEARS</t>
  </si>
  <si>
    <t>    'Report_type': '2',  #--1</t>
  </si>
  <si>
    <t>    #PARAM2 'TYPE AGGREG' --PARAMETER 3: @AggParameter as nvarchar(20)</t>
  </si>
  <si>
    <t>    #--CALENDAR : Par date calendaire</t>
  </si>
  <si>
    <t>    #--PARCOURS : Par date de parcours</t>
  </si>
  <si>
    <t>    'Aggreg_type': 'PARCOURS',</t>
  </si>
  <si>
    <t>    #Date ref</t>
  </si>
  <si>
    <t>    'Date_ref' : "''",</t>
  </si>
  <si>
    <t>    #0 --PARAMETER 4 : @AggParameter_min as int (NB jours)</t>
  </si>
  <si>
    <t>    'Start_at_item': '0',</t>
  </si>
  <si>
    <t>    #50 --PARAMETER 5 : @AggParameter_max as int (NB jours)</t>
  </si>
  <si>
    <t>    'Stop_at_item': '36', # --104</t>
  </si>
  <si>
    <t>    #'PRESENCE' -- PARAMETER 4 : @AggMeth as nvarchar(20) --OK</t>
  </si>
  <si>
    <t>    #--PRESENCE : -&gt; FUNCTION COUNT</t>
  </si>
  <si>
    <t>    #--COUNT -&gt; FUNCTION SUM</t>
  </si>
  <si>
    <t>    #--DENSITE -&gt; Function SUM / Length of aggregation choice (1, 7, 30.41 , 365.25)</t>
  </si>
  <si>
    <t>    'Method': 'COUNT',</t>
  </si>
  <si>
    <t>    #'3'  -- PARAMETER 5  @Filter1_type as nvarchar(20</t>
  </si>
  <si>
    <t>          #--0-ALL</t>
  </si>
  <si>
    <t>          #--1-SERVICE -&gt; from Listing_UF_V3</t>
  </si>
  <si>
    <t>          #--2-ACTIVITE -&gt; from Listing_UF_V3</t>
  </si>
  <si>
    <t>          #--3-PHASE PARCOURS -&gt; from Listing_UF_V3</t>
  </si>
  <si>
    <t>          #--4-DIMENSION PARCOURS -&gt; from Listing_UF_V3</t>
  </si>
  <si>
    <t>          #--5-POIDS ACTE -&gt; from Listing_UF_V3</t>
  </si>
  <si>
    <t>          #--6-TYPE DE SEQUENCE -&gt; from Tmp_Type_Seq</t>
  </si>
  <si>
    <t>          #--7-TYPE DE PARCOURS-- -&gt; (After Clustering only)</t>
  </si>
  <si>
    <t>          #--8-R_NGAP</t>
  </si>
  <si>
    <t>          #--9-R_CCAM</t>
  </si>
  <si>
    <t>          #--10-Statut</t>
  </si>
  <si>
    <t>          #--11-UFH</t>
  </si>
  <si>
    <t>          #--12-INX</t>
  </si>
  <si>
    <t>    'Type_filter1': '6',</t>
  </si>
  <si>
    <t>    'Val_filter1': 'TRAIT', #Filter value,</t>
  </si>
  <si>
    <t>    #'3'  -- PARAMETER 5  @Filter1_type as nvarchar(20)</t>
  </si>
  <si>
    <t>    'Type_filter2': '1',</t>
  </si>
  <si>
    <t>    'Val_filter2': 'Radiothérapie', #Filter value</t>
  </si>
  <si>
    <t>    #J0</t>
  </si>
  <si>
    <t>      #--V1</t>
  </si>
  <si>
    <t>      #--V2</t>
  </si>
  <si>
    <t>      #--V3</t>
  </si>
  <si>
    <t>      #--V4"""</t>
  </si>
  <si>
    <t>    'Param_J0':'V3'</t>
  </si>
  <si>
    <t>Cl_P</t>
  </si>
  <si>
    <t>Mlflow_Exp_NIP_Cl_P1</t>
  </si>
  <si>
    <t>Mlflow_Exp_NIP_Cl_P2</t>
  </si>
  <si>
    <t>Mlflow_Exp_NIP_Cl_P3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</si>
</sst>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6"/>
      <color rgb="FF000000"/>
      <name val="Consolas"/>
      <family val="3"/>
    </font>
    <font>
      <sz val="16"/>
      <color theme="1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0" fillId="40" borderId="0" xfId="0" applyFill="1" applyAlignment="1">
      <alignment horizontal="center" wrapText="1"/>
    </xf>
    <xf numFmtId="0" fontId="19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21" fillId="41" borderId="0" xfId="0" applyFont="1" applyFill="1" applyAlignment="1">
      <alignment vertical="center"/>
    </xf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EF2E-5728-41B7-BD4B-D74DDBE101D8}">
  <dimension ref="A1:A56"/>
  <sheetViews>
    <sheetView topLeftCell="A22" workbookViewId="0">
      <selection activeCell="J35" sqref="J35"/>
    </sheetView>
  </sheetViews>
  <sheetFormatPr defaultRowHeight="20.6" x14ac:dyDescent="0.55000000000000004"/>
  <cols>
    <col min="1" max="1" width="9.23046875" style="30"/>
  </cols>
  <sheetData>
    <row r="1" spans="1:1" ht="20.149999999999999" x14ac:dyDescent="0.4">
      <c r="A1" s="28" t="s">
        <v>155</v>
      </c>
    </row>
    <row r="2" spans="1:1" ht="20.149999999999999" x14ac:dyDescent="0.4">
      <c r="A2" s="28" t="s">
        <v>156</v>
      </c>
    </row>
    <row r="3" spans="1:1" ht="20.149999999999999" x14ac:dyDescent="0.4">
      <c r="A3" s="28" t="s">
        <v>157</v>
      </c>
    </row>
    <row r="4" spans="1:1" ht="20.149999999999999" x14ac:dyDescent="0.4">
      <c r="A4" s="28" t="s">
        <v>158</v>
      </c>
    </row>
    <row r="5" spans="1:1" ht="20.149999999999999" x14ac:dyDescent="0.4">
      <c r="A5" s="28" t="s">
        <v>159</v>
      </c>
    </row>
    <row r="6" spans="1:1" ht="20.149999999999999" x14ac:dyDescent="0.4">
      <c r="A6" s="28" t="s">
        <v>160</v>
      </c>
    </row>
    <row r="7" spans="1:1" ht="20.149999999999999" x14ac:dyDescent="0.4">
      <c r="A7" s="28" t="s">
        <v>161</v>
      </c>
    </row>
    <row r="8" spans="1:1" ht="20.149999999999999" x14ac:dyDescent="0.4">
      <c r="A8" s="28" t="s">
        <v>162</v>
      </c>
    </row>
    <row r="9" spans="1:1" x14ac:dyDescent="0.4">
      <c r="A9" s="29"/>
    </row>
    <row r="10" spans="1:1" ht="20.149999999999999" x14ac:dyDescent="0.4">
      <c r="A10" s="28" t="s">
        <v>163</v>
      </c>
    </row>
    <row r="11" spans="1:1" ht="20.149999999999999" x14ac:dyDescent="0.4">
      <c r="A11" s="28" t="s">
        <v>164</v>
      </c>
    </row>
    <row r="12" spans="1:1" ht="20.149999999999999" x14ac:dyDescent="0.4">
      <c r="A12" s="28" t="s">
        <v>165</v>
      </c>
    </row>
    <row r="13" spans="1:1" ht="20.149999999999999" x14ac:dyDescent="0.4">
      <c r="A13" s="28" t="s">
        <v>166</v>
      </c>
    </row>
    <row r="14" spans="1:1" x14ac:dyDescent="0.4">
      <c r="A14" s="29"/>
    </row>
    <row r="15" spans="1:1" ht="20.149999999999999" x14ac:dyDescent="0.4">
      <c r="A15" s="28" t="s">
        <v>167</v>
      </c>
    </row>
    <row r="16" spans="1:1" ht="20.149999999999999" x14ac:dyDescent="0.4">
      <c r="A16" s="28" t="s">
        <v>168</v>
      </c>
    </row>
    <row r="17" spans="1:1" x14ac:dyDescent="0.4">
      <c r="A17" s="29"/>
    </row>
    <row r="18" spans="1:1" ht="20.149999999999999" x14ac:dyDescent="0.4">
      <c r="A18" s="28" t="s">
        <v>169</v>
      </c>
    </row>
    <row r="19" spans="1:1" ht="20.149999999999999" x14ac:dyDescent="0.4">
      <c r="A19" s="28" t="s">
        <v>170</v>
      </c>
    </row>
    <row r="20" spans="1:1" x14ac:dyDescent="0.4">
      <c r="A20" s="29"/>
    </row>
    <row r="21" spans="1:1" ht="20.149999999999999" x14ac:dyDescent="0.4">
      <c r="A21" s="28" t="s">
        <v>171</v>
      </c>
    </row>
    <row r="22" spans="1:1" ht="20.149999999999999" x14ac:dyDescent="0.4">
      <c r="A22" s="28" t="s">
        <v>172</v>
      </c>
    </row>
    <row r="23" spans="1:1" x14ac:dyDescent="0.4">
      <c r="A23" s="29"/>
    </row>
    <row r="24" spans="1:1" ht="20.149999999999999" x14ac:dyDescent="0.4">
      <c r="A24" s="28" t="s">
        <v>173</v>
      </c>
    </row>
    <row r="25" spans="1:1" ht="20.149999999999999" x14ac:dyDescent="0.4">
      <c r="A25" s="28" t="s">
        <v>174</v>
      </c>
    </row>
    <row r="26" spans="1:1" ht="20.149999999999999" x14ac:dyDescent="0.4">
      <c r="A26" s="28" t="s">
        <v>175</v>
      </c>
    </row>
    <row r="27" spans="1:1" ht="20.149999999999999" x14ac:dyDescent="0.4">
      <c r="A27" s="28" t="s">
        <v>176</v>
      </c>
    </row>
    <row r="28" spans="1:1" ht="20.149999999999999" x14ac:dyDescent="0.4">
      <c r="A28" s="28" t="s">
        <v>177</v>
      </c>
    </row>
    <row r="29" spans="1:1" x14ac:dyDescent="0.4">
      <c r="A29" s="29"/>
    </row>
    <row r="30" spans="1:1" ht="20.149999999999999" x14ac:dyDescent="0.4">
      <c r="A30" s="28" t="s">
        <v>178</v>
      </c>
    </row>
    <row r="31" spans="1:1" ht="20.149999999999999" x14ac:dyDescent="0.4">
      <c r="A31" s="28" t="s">
        <v>179</v>
      </c>
    </row>
    <row r="32" spans="1:1" ht="20.149999999999999" x14ac:dyDescent="0.4">
      <c r="A32" s="28" t="s">
        <v>180</v>
      </c>
    </row>
    <row r="33" spans="1:1" ht="20.149999999999999" x14ac:dyDescent="0.4">
      <c r="A33" s="28" t="s">
        <v>181</v>
      </c>
    </row>
    <row r="34" spans="1:1" ht="20.149999999999999" x14ac:dyDescent="0.4">
      <c r="A34" s="28" t="s">
        <v>182</v>
      </c>
    </row>
    <row r="35" spans="1:1" ht="20.149999999999999" x14ac:dyDescent="0.4">
      <c r="A35" s="28" t="s">
        <v>183</v>
      </c>
    </row>
    <row r="36" spans="1:1" ht="20.149999999999999" x14ac:dyDescent="0.4">
      <c r="A36" s="28" t="s">
        <v>184</v>
      </c>
    </row>
    <row r="37" spans="1:1" ht="20.149999999999999" x14ac:dyDescent="0.4">
      <c r="A37" s="28" t="s">
        <v>185</v>
      </c>
    </row>
    <row r="38" spans="1:1" ht="20.149999999999999" x14ac:dyDescent="0.4">
      <c r="A38" s="28" t="s">
        <v>186</v>
      </c>
    </row>
    <row r="39" spans="1:1" ht="20.149999999999999" x14ac:dyDescent="0.4">
      <c r="A39" s="28" t="s">
        <v>187</v>
      </c>
    </row>
    <row r="40" spans="1:1" ht="20.149999999999999" x14ac:dyDescent="0.4">
      <c r="A40" s="28" t="s">
        <v>188</v>
      </c>
    </row>
    <row r="41" spans="1:1" ht="20.149999999999999" x14ac:dyDescent="0.4">
      <c r="A41" s="28" t="s">
        <v>189</v>
      </c>
    </row>
    <row r="42" spans="1:1" ht="20.149999999999999" x14ac:dyDescent="0.4">
      <c r="A42" s="28" t="s">
        <v>190</v>
      </c>
    </row>
    <row r="43" spans="1:1" ht="20.149999999999999" x14ac:dyDescent="0.4">
      <c r="A43" s="28" t="s">
        <v>191</v>
      </c>
    </row>
    <row r="44" spans="1:1" x14ac:dyDescent="0.4">
      <c r="A44" s="29"/>
    </row>
    <row r="45" spans="1:1" ht="20.149999999999999" x14ac:dyDescent="0.4">
      <c r="A45" s="28" t="s">
        <v>192</v>
      </c>
    </row>
    <row r="46" spans="1:1" ht="20.149999999999999" x14ac:dyDescent="0.4">
      <c r="A46" s="28" t="s">
        <v>193</v>
      </c>
    </row>
    <row r="47" spans="1:1" ht="20.149999999999999" x14ac:dyDescent="0.4">
      <c r="A47" s="28" t="s">
        <v>194</v>
      </c>
    </row>
    <row r="48" spans="1:1" ht="20.149999999999999" x14ac:dyDescent="0.4">
      <c r="A48" s="28" t="s">
        <v>195</v>
      </c>
    </row>
    <row r="49" spans="1:1" ht="20.149999999999999" x14ac:dyDescent="0.4">
      <c r="A49" s="28" t="s">
        <v>196</v>
      </c>
    </row>
    <row r="50" spans="1:1" x14ac:dyDescent="0.4">
      <c r="A50" s="29"/>
    </row>
    <row r="51" spans="1:1" ht="20.149999999999999" x14ac:dyDescent="0.4">
      <c r="A51" s="28" t="s">
        <v>197</v>
      </c>
    </row>
    <row r="52" spans="1:1" ht="20.149999999999999" x14ac:dyDescent="0.4">
      <c r="A52" s="28" t="s">
        <v>198</v>
      </c>
    </row>
    <row r="53" spans="1:1" ht="20.149999999999999" x14ac:dyDescent="0.4">
      <c r="A53" s="28" t="s">
        <v>199</v>
      </c>
    </row>
    <row r="54" spans="1:1" ht="20.149999999999999" x14ac:dyDescent="0.4">
      <c r="A54" s="28" t="s">
        <v>200</v>
      </c>
    </row>
    <row r="55" spans="1:1" ht="20.149999999999999" x14ac:dyDescent="0.4">
      <c r="A55" s="28" t="s">
        <v>201</v>
      </c>
    </row>
    <row r="56" spans="1:1" ht="20.149999999999999" x14ac:dyDescent="0.4">
      <c r="A56" s="28" t="s">
        <v>202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Y16387"/>
  <sheetViews>
    <sheetView tabSelected="1" topLeftCell="A49" workbookViewId="0">
      <selection activeCell="C73" sqref="C73"/>
    </sheetView>
  </sheetViews>
  <sheetFormatPr defaultRowHeight="15.55" customHeight="1" x14ac:dyDescent="0.4"/>
  <cols>
    <col min="1" max="1" width="11.69140625" style="20" bestFit="1" customWidth="1"/>
    <col min="2" max="2" width="33.61328125" bestFit="1" customWidth="1"/>
    <col min="3" max="3" width="71.15234375" bestFit="1" customWidth="1"/>
    <col min="4" max="4" width="12.3828125" style="1" customWidth="1"/>
    <col min="5" max="14" width="10" style="1" customWidth="1"/>
    <col min="15" max="18" width="10" customWidth="1"/>
    <col min="19" max="19" width="18.765625" bestFit="1" customWidth="1"/>
    <col min="20" max="20" width="11.23046875" customWidth="1"/>
  </cols>
  <sheetData>
    <row r="1" spans="1:22" s="21" customFormat="1" ht="15.55" customHeight="1" x14ac:dyDescent="0.4">
      <c r="A1" s="19" t="s">
        <v>96</v>
      </c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20"/>
    </row>
    <row r="2" spans="1:22" ht="15.55" customHeight="1" x14ac:dyDescent="0.4">
      <c r="A2" s="19" t="s">
        <v>97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22" ht="15.55" customHeight="1" x14ac:dyDescent="0.4">
      <c r="A3" s="19" t="s">
        <v>98</v>
      </c>
      <c r="B3" s="14" t="s">
        <v>1</v>
      </c>
      <c r="C3" s="15" t="s">
        <v>133</v>
      </c>
      <c r="D3" s="15" t="str">
        <f>C3</f>
        <v>Clustering parcours_V1</v>
      </c>
      <c r="E3" s="15" t="str">
        <f t="shared" ref="E3:N4" si="0">D3</f>
        <v>Clustering parcours_V1</v>
      </c>
      <c r="F3" s="15" t="str">
        <f t="shared" si="0"/>
        <v>Clustering parcours_V1</v>
      </c>
      <c r="G3" s="15" t="str">
        <f t="shared" si="0"/>
        <v>Clustering parcours_V1</v>
      </c>
      <c r="H3" s="15" t="str">
        <f t="shared" si="0"/>
        <v>Clustering parcours_V1</v>
      </c>
      <c r="I3" s="15" t="str">
        <f t="shared" si="0"/>
        <v>Clustering parcours_V1</v>
      </c>
      <c r="J3" s="15" t="str">
        <f t="shared" si="0"/>
        <v>Clustering parcours_V1</v>
      </c>
      <c r="K3" s="15" t="str">
        <f t="shared" si="0"/>
        <v>Clustering parcours_V1</v>
      </c>
      <c r="L3" s="15" t="str">
        <f t="shared" si="0"/>
        <v>Clustering parcours_V1</v>
      </c>
      <c r="M3" s="15" t="str">
        <f t="shared" si="0"/>
        <v>Clustering parcours_V1</v>
      </c>
      <c r="N3" s="15" t="str">
        <f t="shared" si="0"/>
        <v>Clustering parcours_V1</v>
      </c>
    </row>
    <row r="4" spans="1:22" ht="15.55" customHeight="1" x14ac:dyDescent="0.4">
      <c r="A4" s="19"/>
      <c r="B4" s="14" t="s">
        <v>153</v>
      </c>
      <c r="C4" s="15" t="s">
        <v>154</v>
      </c>
      <c r="D4" s="15" t="str">
        <f>C4</f>
        <v>My_id</v>
      </c>
      <c r="E4" s="15" t="str">
        <f t="shared" si="0"/>
        <v>My_id</v>
      </c>
      <c r="F4" s="15" t="str">
        <f t="shared" si="0"/>
        <v>My_id</v>
      </c>
      <c r="G4" s="15" t="str">
        <f t="shared" si="0"/>
        <v>My_id</v>
      </c>
      <c r="H4" s="15" t="str">
        <f t="shared" si="0"/>
        <v>My_id</v>
      </c>
      <c r="I4" s="15" t="str">
        <f t="shared" si="0"/>
        <v>My_id</v>
      </c>
      <c r="J4" s="15" t="str">
        <f t="shared" si="0"/>
        <v>My_id</v>
      </c>
      <c r="K4" s="15" t="str">
        <f t="shared" si="0"/>
        <v>My_id</v>
      </c>
      <c r="L4" s="15" t="str">
        <f t="shared" si="0"/>
        <v>My_id</v>
      </c>
      <c r="M4" s="15" t="str">
        <f t="shared" si="0"/>
        <v>My_id</v>
      </c>
      <c r="N4" s="15" t="str">
        <f t="shared" si="0"/>
        <v>My_id</v>
      </c>
    </row>
    <row r="5" spans="1:22" ht="15.55" customHeight="1" x14ac:dyDescent="0.4">
      <c r="A5" s="19" t="s">
        <v>76</v>
      </c>
      <c r="B5" s="14" t="s">
        <v>2</v>
      </c>
      <c r="C5" s="15" t="s">
        <v>121</v>
      </c>
      <c r="D5" s="1" t="str">
        <f>C5</f>
        <v>exp.version</v>
      </c>
      <c r="E5" s="1" t="str">
        <f t="shared" ref="E5:N5" si="1">D5</f>
        <v>exp.version</v>
      </c>
      <c r="F5" s="1" t="str">
        <f t="shared" si="1"/>
        <v>exp.version</v>
      </c>
      <c r="G5" s="1" t="str">
        <f t="shared" si="1"/>
        <v>exp.version</v>
      </c>
      <c r="H5" s="1" t="str">
        <f t="shared" si="1"/>
        <v>exp.version</v>
      </c>
      <c r="I5" s="1" t="str">
        <f t="shared" si="1"/>
        <v>exp.version</v>
      </c>
      <c r="J5" s="1" t="str">
        <f t="shared" si="1"/>
        <v>exp.version</v>
      </c>
      <c r="K5" s="1" t="str">
        <f t="shared" si="1"/>
        <v>exp.version</v>
      </c>
      <c r="L5" s="1" t="str">
        <f t="shared" si="1"/>
        <v>exp.version</v>
      </c>
      <c r="M5" s="1" t="str">
        <f t="shared" si="1"/>
        <v>exp.version</v>
      </c>
      <c r="N5" s="1" t="str">
        <f t="shared" si="1"/>
        <v>exp.version</v>
      </c>
    </row>
    <row r="6" spans="1:22" ht="15.55" customHeight="1" x14ac:dyDescent="0.4">
      <c r="A6" s="19" t="s">
        <v>76</v>
      </c>
      <c r="B6" s="14" t="s">
        <v>3</v>
      </c>
      <c r="C6" s="15">
        <v>0.1</v>
      </c>
      <c r="D6" s="1">
        <f t="shared" ref="D6:N6" si="2">C6</f>
        <v>0.1</v>
      </c>
      <c r="E6" s="1">
        <f t="shared" si="2"/>
        <v>0.1</v>
      </c>
      <c r="F6" s="1">
        <f t="shared" si="2"/>
        <v>0.1</v>
      </c>
      <c r="G6" s="1">
        <f t="shared" si="2"/>
        <v>0.1</v>
      </c>
      <c r="H6" s="1">
        <f t="shared" si="2"/>
        <v>0.1</v>
      </c>
      <c r="I6" s="1">
        <f t="shared" si="2"/>
        <v>0.1</v>
      </c>
      <c r="J6" s="1">
        <f t="shared" si="2"/>
        <v>0.1</v>
      </c>
      <c r="K6" s="1">
        <f t="shared" si="2"/>
        <v>0.1</v>
      </c>
      <c r="L6" s="1">
        <f t="shared" si="2"/>
        <v>0.1</v>
      </c>
      <c r="M6" s="1">
        <f t="shared" si="2"/>
        <v>0.1</v>
      </c>
      <c r="N6" s="1">
        <f t="shared" si="2"/>
        <v>0.1</v>
      </c>
    </row>
    <row r="7" spans="1:22" ht="15.55" customHeight="1" x14ac:dyDescent="0.4">
      <c r="A7" s="19" t="s">
        <v>76</v>
      </c>
      <c r="B7" s="14" t="s">
        <v>4</v>
      </c>
      <c r="C7" s="15" t="s">
        <v>60</v>
      </c>
      <c r="D7" s="1" t="str">
        <f t="shared" ref="D7:N7" si="3">C7</f>
        <v>000_DS_</v>
      </c>
      <c r="E7" s="1" t="str">
        <f t="shared" si="3"/>
        <v>000_DS_</v>
      </c>
      <c r="F7" s="1" t="str">
        <f t="shared" si="3"/>
        <v>000_DS_</v>
      </c>
      <c r="G7" s="1" t="str">
        <f t="shared" si="3"/>
        <v>000_DS_</v>
      </c>
      <c r="H7" s="1" t="str">
        <f t="shared" si="3"/>
        <v>000_DS_</v>
      </c>
      <c r="I7" s="1" t="str">
        <f t="shared" si="3"/>
        <v>000_DS_</v>
      </c>
      <c r="J7" s="1" t="str">
        <f t="shared" si="3"/>
        <v>000_DS_</v>
      </c>
      <c r="K7" s="1" t="str">
        <f t="shared" si="3"/>
        <v>000_DS_</v>
      </c>
      <c r="L7" s="1" t="str">
        <f t="shared" si="3"/>
        <v>000_DS_</v>
      </c>
      <c r="M7" s="1" t="str">
        <f t="shared" si="3"/>
        <v>000_DS_</v>
      </c>
      <c r="N7" s="1" t="str">
        <f t="shared" si="3"/>
        <v>000_DS_</v>
      </c>
    </row>
    <row r="8" spans="1:22" ht="15.55" customHeight="1" x14ac:dyDescent="0.4">
      <c r="A8" s="19" t="s">
        <v>76</v>
      </c>
      <c r="B8" s="14" t="s">
        <v>5</v>
      </c>
      <c r="C8" s="16">
        <v>43466</v>
      </c>
      <c r="D8" s="16">
        <f t="shared" ref="D8:N8" si="4">C8</f>
        <v>43466</v>
      </c>
      <c r="E8" s="16">
        <f t="shared" si="4"/>
        <v>43466</v>
      </c>
      <c r="F8" s="16">
        <f t="shared" si="4"/>
        <v>43466</v>
      </c>
      <c r="G8" s="16">
        <f t="shared" si="4"/>
        <v>43466</v>
      </c>
      <c r="H8" s="16">
        <f t="shared" si="4"/>
        <v>43466</v>
      </c>
      <c r="I8" s="16">
        <f t="shared" si="4"/>
        <v>43466</v>
      </c>
      <c r="J8" s="16">
        <f t="shared" si="4"/>
        <v>43466</v>
      </c>
      <c r="K8" s="16">
        <f t="shared" si="4"/>
        <v>43466</v>
      </c>
      <c r="L8" s="16">
        <f t="shared" si="4"/>
        <v>43466</v>
      </c>
      <c r="M8" s="16">
        <f t="shared" si="4"/>
        <v>43466</v>
      </c>
      <c r="N8" s="16">
        <f t="shared" si="4"/>
        <v>43466</v>
      </c>
      <c r="S8" t="s">
        <v>119</v>
      </c>
    </row>
    <row r="9" spans="1:22" ht="15.55" customHeight="1" x14ac:dyDescent="0.4">
      <c r="A9" s="19" t="s">
        <v>76</v>
      </c>
      <c r="B9" s="14" t="s">
        <v>6</v>
      </c>
      <c r="C9" s="22">
        <v>1</v>
      </c>
      <c r="D9" s="1">
        <f t="shared" ref="D9:N9" si="5">C9</f>
        <v>1</v>
      </c>
      <c r="E9" s="1">
        <f t="shared" si="5"/>
        <v>1</v>
      </c>
      <c r="F9" s="1">
        <f t="shared" si="5"/>
        <v>1</v>
      </c>
      <c r="G9" s="1">
        <f t="shared" si="5"/>
        <v>1</v>
      </c>
      <c r="H9" s="1">
        <f t="shared" si="5"/>
        <v>1</v>
      </c>
      <c r="I9" s="1">
        <f t="shared" si="5"/>
        <v>1</v>
      </c>
      <c r="J9" s="1">
        <f t="shared" si="5"/>
        <v>1</v>
      </c>
      <c r="K9" s="1">
        <f t="shared" si="5"/>
        <v>1</v>
      </c>
      <c r="L9" s="1">
        <f t="shared" si="5"/>
        <v>1</v>
      </c>
      <c r="M9" s="1">
        <f t="shared" si="5"/>
        <v>1</v>
      </c>
      <c r="N9" s="1">
        <f t="shared" si="5"/>
        <v>1</v>
      </c>
      <c r="S9" t="s">
        <v>120</v>
      </c>
      <c r="T9" t="s">
        <v>100</v>
      </c>
      <c r="U9" t="s">
        <v>101</v>
      </c>
      <c r="V9" t="s">
        <v>102</v>
      </c>
    </row>
    <row r="10" spans="1:22" ht="15.55" customHeight="1" x14ac:dyDescent="0.4">
      <c r="A10" s="19" t="s">
        <v>76</v>
      </c>
      <c r="B10" s="14" t="s">
        <v>7</v>
      </c>
      <c r="C10" s="15">
        <v>2</v>
      </c>
      <c r="D10" s="1">
        <f t="shared" ref="D10:N10" si="6">C10</f>
        <v>2</v>
      </c>
      <c r="E10" s="1">
        <f t="shared" si="6"/>
        <v>2</v>
      </c>
      <c r="F10" s="1">
        <f t="shared" si="6"/>
        <v>2</v>
      </c>
      <c r="G10" s="1">
        <f t="shared" si="6"/>
        <v>2</v>
      </c>
      <c r="H10" s="1">
        <f t="shared" si="6"/>
        <v>2</v>
      </c>
      <c r="I10" s="1">
        <f t="shared" si="6"/>
        <v>2</v>
      </c>
      <c r="J10" s="1">
        <f t="shared" si="6"/>
        <v>2</v>
      </c>
      <c r="K10" s="1">
        <f t="shared" si="6"/>
        <v>2</v>
      </c>
      <c r="L10" s="1">
        <f t="shared" si="6"/>
        <v>2</v>
      </c>
      <c r="M10" s="1">
        <f t="shared" si="6"/>
        <v>2</v>
      </c>
      <c r="N10" s="1">
        <f t="shared" si="6"/>
        <v>2</v>
      </c>
    </row>
    <row r="11" spans="1:22" ht="15.55" customHeight="1" x14ac:dyDescent="0.4">
      <c r="A11" s="19" t="s">
        <v>76</v>
      </c>
      <c r="B11" s="14" t="s">
        <v>8</v>
      </c>
      <c r="C11" s="16">
        <v>43109</v>
      </c>
      <c r="D11" s="16">
        <f t="shared" ref="D11:N11" si="7">C11</f>
        <v>43109</v>
      </c>
      <c r="E11" s="16">
        <f t="shared" si="7"/>
        <v>43109</v>
      </c>
      <c r="F11" s="16">
        <f t="shared" si="7"/>
        <v>43109</v>
      </c>
      <c r="G11" s="16">
        <f t="shared" si="7"/>
        <v>43109</v>
      </c>
      <c r="H11" s="16">
        <f t="shared" si="7"/>
        <v>43109</v>
      </c>
      <c r="I11" s="16">
        <f t="shared" si="7"/>
        <v>43109</v>
      </c>
      <c r="J11" s="16">
        <f t="shared" si="7"/>
        <v>43109</v>
      </c>
      <c r="K11" s="16">
        <f t="shared" si="7"/>
        <v>43109</v>
      </c>
      <c r="L11" s="16">
        <f t="shared" si="7"/>
        <v>43109</v>
      </c>
      <c r="M11" s="16">
        <f t="shared" si="7"/>
        <v>43109</v>
      </c>
      <c r="N11" s="16">
        <f t="shared" si="7"/>
        <v>43109</v>
      </c>
    </row>
    <row r="12" spans="1:22" ht="15.55" customHeight="1" x14ac:dyDescent="0.4">
      <c r="A12" s="19" t="s">
        <v>76</v>
      </c>
      <c r="B12" s="14" t="s">
        <v>9</v>
      </c>
      <c r="C12" s="16">
        <v>44196</v>
      </c>
      <c r="D12" s="16">
        <f t="shared" ref="D12:N12" si="8">C12</f>
        <v>44196</v>
      </c>
      <c r="E12" s="16">
        <f t="shared" si="8"/>
        <v>44196</v>
      </c>
      <c r="F12" s="16">
        <f t="shared" si="8"/>
        <v>44196</v>
      </c>
      <c r="G12" s="16">
        <f t="shared" si="8"/>
        <v>44196</v>
      </c>
      <c r="H12" s="16">
        <f t="shared" si="8"/>
        <v>44196</v>
      </c>
      <c r="I12" s="16">
        <f t="shared" si="8"/>
        <v>44196</v>
      </c>
      <c r="J12" s="16">
        <f t="shared" si="8"/>
        <v>44196</v>
      </c>
      <c r="K12" s="16">
        <f t="shared" si="8"/>
        <v>44196</v>
      </c>
      <c r="L12" s="16">
        <f t="shared" si="8"/>
        <v>44196</v>
      </c>
      <c r="M12" s="16">
        <f t="shared" si="8"/>
        <v>44196</v>
      </c>
      <c r="N12" s="16">
        <f t="shared" si="8"/>
        <v>44196</v>
      </c>
    </row>
    <row r="13" spans="1:22" ht="15.55" customHeight="1" x14ac:dyDescent="0.4">
      <c r="A13" s="19" t="s">
        <v>76</v>
      </c>
      <c r="B13" s="14" t="s">
        <v>10</v>
      </c>
      <c r="C13" s="15" t="s">
        <v>61</v>
      </c>
      <c r="D13" s="1" t="str">
        <f t="shared" ref="D13:N13" si="9">C13</f>
        <v>C:/Users/vince/Documents/DSTI/DSTI_Projects/ML ICO Activity/06 - Temp_outputs/</v>
      </c>
      <c r="E13" s="1" t="str">
        <f t="shared" si="9"/>
        <v>C:/Users/vince/Documents/DSTI/DSTI_Projects/ML ICO Activity/06 - Temp_outputs/</v>
      </c>
      <c r="F13" s="1" t="str">
        <f t="shared" si="9"/>
        <v>C:/Users/vince/Documents/DSTI/DSTI_Projects/ML ICO Activity/06 - Temp_outputs/</v>
      </c>
      <c r="G13" s="1" t="str">
        <f t="shared" si="9"/>
        <v>C:/Users/vince/Documents/DSTI/DSTI_Projects/ML ICO Activity/06 - Temp_outputs/</v>
      </c>
      <c r="H13" s="1" t="str">
        <f t="shared" si="9"/>
        <v>C:/Users/vince/Documents/DSTI/DSTI_Projects/ML ICO Activity/06 - Temp_outputs/</v>
      </c>
      <c r="I13" s="1" t="str">
        <f t="shared" si="9"/>
        <v>C:/Users/vince/Documents/DSTI/DSTI_Projects/ML ICO Activity/06 - Temp_outputs/</v>
      </c>
      <c r="J13" s="1" t="str">
        <f t="shared" si="9"/>
        <v>C:/Users/vince/Documents/DSTI/DSTI_Projects/ML ICO Activity/06 - Temp_outputs/</v>
      </c>
      <c r="K13" s="1" t="str">
        <f t="shared" si="9"/>
        <v>C:/Users/vince/Documents/DSTI/DSTI_Projects/ML ICO Activity/06 - Temp_outputs/</v>
      </c>
      <c r="L13" s="1" t="str">
        <f t="shared" si="9"/>
        <v>C:/Users/vince/Documents/DSTI/DSTI_Projects/ML ICO Activity/06 - Temp_outputs/</v>
      </c>
      <c r="M13" s="1" t="str">
        <f t="shared" si="9"/>
        <v>C:/Users/vince/Documents/DSTI/DSTI_Projects/ML ICO Activity/06 - Temp_outputs/</v>
      </c>
      <c r="N13" s="1" t="str">
        <f t="shared" si="9"/>
        <v>C:/Users/vince/Documents/DSTI/DSTI_Projects/ML ICO Activity/06 - Temp_outputs/</v>
      </c>
    </row>
    <row r="14" spans="1:22" ht="15.55" customHeight="1" x14ac:dyDescent="0.4">
      <c r="A14" s="19" t="s">
        <v>76</v>
      </c>
      <c r="B14" s="4" t="s">
        <v>11</v>
      </c>
      <c r="C14" s="3" t="b">
        <v>1</v>
      </c>
      <c r="D14" s="1" t="b">
        <f t="shared" ref="D14:N14" si="10">C14</f>
        <v>1</v>
      </c>
      <c r="E14" s="1" t="b">
        <f t="shared" si="10"/>
        <v>1</v>
      </c>
      <c r="F14" s="1" t="b">
        <f t="shared" si="10"/>
        <v>1</v>
      </c>
      <c r="G14" s="1" t="b">
        <f t="shared" si="10"/>
        <v>1</v>
      </c>
      <c r="H14" s="1" t="b">
        <f t="shared" si="10"/>
        <v>1</v>
      </c>
      <c r="I14" s="1" t="b">
        <f t="shared" si="10"/>
        <v>1</v>
      </c>
      <c r="J14" s="1" t="b">
        <f t="shared" si="10"/>
        <v>1</v>
      </c>
      <c r="K14" s="1" t="b">
        <f t="shared" si="10"/>
        <v>1</v>
      </c>
      <c r="L14" s="1" t="b">
        <f t="shared" si="10"/>
        <v>1</v>
      </c>
      <c r="M14" s="1" t="b">
        <f t="shared" si="10"/>
        <v>1</v>
      </c>
      <c r="N14" s="1" t="b">
        <f t="shared" si="10"/>
        <v>1</v>
      </c>
    </row>
    <row r="15" spans="1:22" ht="15.55" customHeight="1" x14ac:dyDescent="0.4">
      <c r="A15" s="19" t="s">
        <v>76</v>
      </c>
      <c r="B15" s="4" t="s">
        <v>12</v>
      </c>
      <c r="C15" s="6" t="s">
        <v>62</v>
      </c>
      <c r="D15" s="1" t="str">
        <f t="shared" ref="D15:N15" si="11">C15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6" spans="1:22" ht="15.55" customHeight="1" x14ac:dyDescent="0.4">
      <c r="A16" s="19" t="s">
        <v>76</v>
      </c>
      <c r="B16" s="4" t="s">
        <v>13</v>
      </c>
      <c r="C16" s="5" t="s">
        <v>63</v>
      </c>
      <c r="D16" s="1" t="str">
        <f t="shared" ref="D16:N16" si="12">C16</f>
        <v>Actes_total.png</v>
      </c>
      <c r="E16" s="1" t="str">
        <f t="shared" si="12"/>
        <v>Actes_total.png</v>
      </c>
      <c r="F16" s="1" t="str">
        <f t="shared" si="12"/>
        <v>Actes_total.png</v>
      </c>
      <c r="G16" s="1" t="str">
        <f t="shared" si="12"/>
        <v>Actes_total.png</v>
      </c>
      <c r="H16" s="1" t="str">
        <f t="shared" si="12"/>
        <v>Actes_total.png</v>
      </c>
      <c r="I16" s="1" t="str">
        <f t="shared" si="12"/>
        <v>Actes_total.png</v>
      </c>
      <c r="J16" s="1" t="str">
        <f t="shared" si="12"/>
        <v>Actes_total.png</v>
      </c>
      <c r="K16" s="1" t="str">
        <f t="shared" si="12"/>
        <v>Actes_total.png</v>
      </c>
      <c r="L16" s="1" t="str">
        <f t="shared" si="12"/>
        <v>Actes_total.png</v>
      </c>
      <c r="M16" s="1" t="str">
        <f t="shared" si="12"/>
        <v>Actes_total.png</v>
      </c>
      <c r="N16" s="1" t="str">
        <f t="shared" si="12"/>
        <v>Actes_total.png</v>
      </c>
    </row>
    <row r="17" spans="1:25" ht="15.55" customHeight="1" x14ac:dyDescent="0.4">
      <c r="A17" s="19" t="s">
        <v>76</v>
      </c>
      <c r="B17" s="4" t="s">
        <v>14</v>
      </c>
      <c r="C17" s="5" t="s">
        <v>64</v>
      </c>
      <c r="D17" s="1" t="str">
        <f t="shared" ref="D17:N17" si="13">C17</f>
        <v>DS_General_plot</v>
      </c>
      <c r="E17" s="1" t="str">
        <f t="shared" si="13"/>
        <v>DS_General_plot</v>
      </c>
      <c r="F17" s="1" t="str">
        <f t="shared" si="13"/>
        <v>DS_General_plot</v>
      </c>
      <c r="G17" s="1" t="str">
        <f t="shared" si="13"/>
        <v>DS_General_plot</v>
      </c>
      <c r="H17" s="1" t="str">
        <f t="shared" si="13"/>
        <v>DS_General_plot</v>
      </c>
      <c r="I17" s="1" t="str">
        <f t="shared" si="13"/>
        <v>DS_General_plot</v>
      </c>
      <c r="J17" s="1" t="str">
        <f t="shared" si="13"/>
        <v>DS_General_plot</v>
      </c>
      <c r="K17" s="1" t="str">
        <f t="shared" si="13"/>
        <v>DS_General_plot</v>
      </c>
      <c r="L17" s="1" t="str">
        <f t="shared" si="13"/>
        <v>DS_General_plot</v>
      </c>
      <c r="M17" s="1" t="str">
        <f t="shared" si="13"/>
        <v>DS_General_plot</v>
      </c>
      <c r="N17" s="1" t="str">
        <f t="shared" si="13"/>
        <v>DS_General_plot</v>
      </c>
    </row>
    <row r="18" spans="1:25" ht="15.55" customHeight="1" x14ac:dyDescent="0.4">
      <c r="A18" s="19" t="s">
        <v>76</v>
      </c>
      <c r="B18" s="11" t="s">
        <v>15</v>
      </c>
      <c r="C18" s="3" t="b">
        <v>1</v>
      </c>
      <c r="D18" s="1" t="b">
        <f t="shared" ref="D18:N18" si="14">C18</f>
        <v>1</v>
      </c>
      <c r="E18" s="1" t="b">
        <f t="shared" si="14"/>
        <v>1</v>
      </c>
      <c r="F18" s="1" t="b">
        <f t="shared" si="14"/>
        <v>1</v>
      </c>
      <c r="G18" s="1" t="b">
        <f t="shared" si="14"/>
        <v>1</v>
      </c>
      <c r="H18" s="1" t="b">
        <f t="shared" si="14"/>
        <v>1</v>
      </c>
      <c r="I18" s="1" t="b">
        <f t="shared" si="14"/>
        <v>1</v>
      </c>
      <c r="J18" s="1" t="b">
        <f t="shared" si="14"/>
        <v>1</v>
      </c>
      <c r="K18" s="1" t="b">
        <f t="shared" si="14"/>
        <v>1</v>
      </c>
      <c r="L18" s="1" t="b">
        <f t="shared" si="14"/>
        <v>1</v>
      </c>
      <c r="M18" s="1" t="b">
        <f t="shared" si="14"/>
        <v>1</v>
      </c>
      <c r="N18" s="1" t="b">
        <f t="shared" si="14"/>
        <v>1</v>
      </c>
    </row>
    <row r="19" spans="1:25" ht="15.55" customHeight="1" x14ac:dyDescent="0.4">
      <c r="A19" s="19" t="s">
        <v>76</v>
      </c>
      <c r="B19" s="11" t="s">
        <v>16</v>
      </c>
      <c r="C19" s="12" t="s">
        <v>65</v>
      </c>
      <c r="D19" s="1" t="str">
        <f t="shared" ref="D19:N19" si="15">C19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20" spans="1:25" ht="15.55" customHeight="1" x14ac:dyDescent="0.4">
      <c r="A20" s="19" t="s">
        <v>76</v>
      </c>
      <c r="B20" s="11" t="s">
        <v>17</v>
      </c>
      <c r="C20" s="13" t="s">
        <v>66</v>
      </c>
      <c r="D20" s="1" t="str">
        <f t="shared" ref="D20:N20" si="16">C20</f>
        <v>Actes_rdth.png</v>
      </c>
      <c r="E20" s="1" t="str">
        <f t="shared" si="16"/>
        <v>Actes_rdth.png</v>
      </c>
      <c r="F20" s="1" t="str">
        <f t="shared" si="16"/>
        <v>Actes_rdth.png</v>
      </c>
      <c r="G20" s="1" t="str">
        <f t="shared" si="16"/>
        <v>Actes_rdth.png</v>
      </c>
      <c r="H20" s="1" t="str">
        <f t="shared" si="16"/>
        <v>Actes_rdth.png</v>
      </c>
      <c r="I20" s="1" t="str">
        <f t="shared" si="16"/>
        <v>Actes_rdth.png</v>
      </c>
      <c r="J20" s="1" t="str">
        <f t="shared" si="16"/>
        <v>Actes_rdth.png</v>
      </c>
      <c r="K20" s="1" t="str">
        <f t="shared" si="16"/>
        <v>Actes_rdth.png</v>
      </c>
      <c r="L20" s="1" t="str">
        <f t="shared" si="16"/>
        <v>Actes_rdth.png</v>
      </c>
      <c r="M20" s="1" t="str">
        <f t="shared" si="16"/>
        <v>Actes_rdth.png</v>
      </c>
      <c r="N20" s="1" t="str">
        <f t="shared" si="16"/>
        <v>Actes_rdth.png</v>
      </c>
    </row>
    <row r="21" spans="1:25" ht="15.55" customHeight="1" x14ac:dyDescent="0.4">
      <c r="A21" s="19" t="s">
        <v>76</v>
      </c>
      <c r="B21" s="11" t="s">
        <v>18</v>
      </c>
      <c r="C21" s="13" t="s">
        <v>67</v>
      </c>
      <c r="D21" s="1" t="str">
        <f t="shared" ref="D21:N21" si="17">C21</f>
        <v>DS_General_RDTH_plot</v>
      </c>
      <c r="E21" s="1" t="str">
        <f t="shared" si="17"/>
        <v>DS_General_RDTH_plot</v>
      </c>
      <c r="F21" s="1" t="str">
        <f t="shared" si="17"/>
        <v>DS_General_RDTH_plot</v>
      </c>
      <c r="G21" s="1" t="str">
        <f t="shared" si="17"/>
        <v>DS_General_RDTH_plot</v>
      </c>
      <c r="H21" s="1" t="str">
        <f t="shared" si="17"/>
        <v>DS_General_RDTH_plot</v>
      </c>
      <c r="I21" s="1" t="str">
        <f t="shared" si="17"/>
        <v>DS_General_RDTH_plot</v>
      </c>
      <c r="J21" s="1" t="str">
        <f t="shared" si="17"/>
        <v>DS_General_RDTH_plot</v>
      </c>
      <c r="K21" s="1" t="str">
        <f t="shared" si="17"/>
        <v>DS_General_RDTH_plot</v>
      </c>
      <c r="L21" s="1" t="str">
        <f t="shared" si="17"/>
        <v>DS_General_RDTH_plot</v>
      </c>
      <c r="M21" s="1" t="str">
        <f t="shared" si="17"/>
        <v>DS_General_RDTH_plot</v>
      </c>
      <c r="N21" s="1" t="str">
        <f t="shared" si="17"/>
        <v>DS_General_RDTH_plot</v>
      </c>
    </row>
    <row r="22" spans="1:25" ht="15.55" customHeight="1" x14ac:dyDescent="0.4">
      <c r="A22" s="19" t="s">
        <v>76</v>
      </c>
      <c r="B22" s="11" t="s">
        <v>19</v>
      </c>
      <c r="C22" s="13" t="s">
        <v>68</v>
      </c>
      <c r="D22" s="1" t="str">
        <f t="shared" ref="D22:N22" si="18">C22</f>
        <v>010_Agg_</v>
      </c>
      <c r="E22" s="1" t="str">
        <f t="shared" si="18"/>
        <v>010_Agg_</v>
      </c>
      <c r="F22" s="1" t="str">
        <f t="shared" si="18"/>
        <v>010_Agg_</v>
      </c>
      <c r="G22" s="1" t="str">
        <f t="shared" si="18"/>
        <v>010_Agg_</v>
      </c>
      <c r="H22" s="1" t="str">
        <f t="shared" si="18"/>
        <v>010_Agg_</v>
      </c>
      <c r="I22" s="1" t="str">
        <f t="shared" si="18"/>
        <v>010_Agg_</v>
      </c>
      <c r="J22" s="1" t="str">
        <f t="shared" si="18"/>
        <v>010_Agg_</v>
      </c>
      <c r="K22" s="1" t="str">
        <f t="shared" si="18"/>
        <v>010_Agg_</v>
      </c>
      <c r="L22" s="1" t="str">
        <f t="shared" si="18"/>
        <v>010_Agg_</v>
      </c>
      <c r="M22" s="1" t="str">
        <f t="shared" si="18"/>
        <v>010_Agg_</v>
      </c>
      <c r="N22" s="1" t="str">
        <f t="shared" si="18"/>
        <v>010_Agg_</v>
      </c>
    </row>
    <row r="23" spans="1:25" ht="15.55" customHeight="1" x14ac:dyDescent="0.4">
      <c r="A23" s="19" t="s">
        <v>98</v>
      </c>
      <c r="B23" s="11" t="s">
        <v>20</v>
      </c>
      <c r="C23" s="13">
        <v>2</v>
      </c>
      <c r="D23" s="13">
        <v>2</v>
      </c>
      <c r="E23" s="1">
        <v>1</v>
      </c>
      <c r="F23" s="1">
        <v>1</v>
      </c>
      <c r="G23" s="13">
        <v>2</v>
      </c>
      <c r="H23" s="13">
        <v>2</v>
      </c>
      <c r="I23" s="1">
        <v>1</v>
      </c>
      <c r="J23" s="1">
        <v>1</v>
      </c>
      <c r="K23" s="13">
        <v>2</v>
      </c>
      <c r="L23" s="13">
        <v>2</v>
      </c>
      <c r="M23" s="1">
        <v>1</v>
      </c>
      <c r="N23" s="1">
        <v>1</v>
      </c>
      <c r="S23" t="s">
        <v>99</v>
      </c>
      <c r="U23" s="1" t="s">
        <v>87</v>
      </c>
      <c r="V23" s="17" t="s">
        <v>85</v>
      </c>
      <c r="W23" s="17" t="s">
        <v>86</v>
      </c>
      <c r="X23" s="1" t="s">
        <v>88</v>
      </c>
      <c r="Y23" s="1" t="s">
        <v>89</v>
      </c>
    </row>
    <row r="24" spans="1:25" ht="15.55" customHeight="1" x14ac:dyDescent="0.4">
      <c r="A24" s="19" t="s">
        <v>76</v>
      </c>
      <c r="B24" s="11" t="s">
        <v>21</v>
      </c>
      <c r="C24" s="13" t="s">
        <v>69</v>
      </c>
      <c r="D24" s="1" t="str">
        <f t="shared" ref="D24:N24" si="19">C24</f>
        <v>PARCOURS</v>
      </c>
      <c r="E24" s="1" t="str">
        <f t="shared" si="19"/>
        <v>PARCOURS</v>
      </c>
      <c r="F24" s="1" t="str">
        <f t="shared" si="19"/>
        <v>PARCOURS</v>
      </c>
      <c r="G24" s="1" t="str">
        <f t="shared" si="19"/>
        <v>PARCOURS</v>
      </c>
      <c r="H24" s="1" t="str">
        <f t="shared" si="19"/>
        <v>PARCOURS</v>
      </c>
      <c r="I24" s="1" t="str">
        <f t="shared" si="19"/>
        <v>PARCOURS</v>
      </c>
      <c r="J24" s="1" t="str">
        <f t="shared" si="19"/>
        <v>PARCOURS</v>
      </c>
      <c r="K24" s="1" t="str">
        <f t="shared" si="19"/>
        <v>PARCOURS</v>
      </c>
      <c r="L24" s="1" t="str">
        <f t="shared" si="19"/>
        <v>PARCOURS</v>
      </c>
      <c r="M24" s="1" t="str">
        <f t="shared" si="19"/>
        <v>PARCOURS</v>
      </c>
      <c r="N24" s="1" t="str">
        <f t="shared" si="19"/>
        <v>PARCOURS</v>
      </c>
      <c r="S24" t="s">
        <v>103</v>
      </c>
      <c r="U24" s="17" t="s">
        <v>69</v>
      </c>
      <c r="V24" t="s">
        <v>90</v>
      </c>
    </row>
    <row r="25" spans="1:25" ht="15.55" customHeight="1" x14ac:dyDescent="0.4">
      <c r="A25" s="19" t="s">
        <v>76</v>
      </c>
      <c r="B25" s="11" t="s">
        <v>22</v>
      </c>
      <c r="C25" s="13" t="s">
        <v>70</v>
      </c>
      <c r="D25" s="1" t="str">
        <f t="shared" ref="D25:N25" si="20">C25</f>
        <v>''</v>
      </c>
      <c r="E25" s="1" t="str">
        <f t="shared" si="20"/>
        <v>''</v>
      </c>
      <c r="F25" s="1" t="str">
        <f t="shared" si="20"/>
        <v>''</v>
      </c>
      <c r="G25" s="1" t="str">
        <f t="shared" si="20"/>
        <v>''</v>
      </c>
      <c r="H25" s="1" t="str">
        <f t="shared" si="20"/>
        <v>''</v>
      </c>
      <c r="I25" s="1" t="str">
        <f t="shared" si="20"/>
        <v>''</v>
      </c>
      <c r="J25" s="1" t="str">
        <f t="shared" si="20"/>
        <v>''</v>
      </c>
      <c r="K25" s="1" t="str">
        <f t="shared" si="20"/>
        <v>''</v>
      </c>
      <c r="L25" s="1" t="str">
        <f t="shared" si="20"/>
        <v>''</v>
      </c>
      <c r="M25" s="1" t="str">
        <f t="shared" si="20"/>
        <v>''</v>
      </c>
      <c r="N25" s="1" t="str">
        <f t="shared" si="20"/>
        <v>''</v>
      </c>
    </row>
    <row r="26" spans="1:25" ht="15.55" customHeight="1" x14ac:dyDescent="0.4">
      <c r="A26" s="19" t="s">
        <v>76</v>
      </c>
      <c r="B26" s="11" t="s">
        <v>23</v>
      </c>
      <c r="C26" s="13">
        <v>0</v>
      </c>
      <c r="D26" s="1">
        <f t="shared" ref="D26:N26" si="21">C26</f>
        <v>0</v>
      </c>
      <c r="E26" s="1">
        <f t="shared" si="21"/>
        <v>0</v>
      </c>
      <c r="F26" s="1">
        <f t="shared" si="21"/>
        <v>0</v>
      </c>
      <c r="G26" s="1">
        <f t="shared" si="21"/>
        <v>0</v>
      </c>
      <c r="H26" s="1">
        <f t="shared" si="21"/>
        <v>0</v>
      </c>
      <c r="I26" s="1">
        <f t="shared" si="21"/>
        <v>0</v>
      </c>
      <c r="J26" s="1">
        <f t="shared" si="21"/>
        <v>0</v>
      </c>
      <c r="K26" s="1">
        <f t="shared" si="21"/>
        <v>0</v>
      </c>
      <c r="L26" s="1">
        <f t="shared" si="21"/>
        <v>0</v>
      </c>
      <c r="M26" s="1">
        <f t="shared" si="21"/>
        <v>0</v>
      </c>
      <c r="N26" s="1">
        <f t="shared" si="21"/>
        <v>0</v>
      </c>
    </row>
    <row r="27" spans="1:25" ht="15.55" customHeight="1" x14ac:dyDescent="0.4">
      <c r="A27" s="19" t="s">
        <v>98</v>
      </c>
      <c r="B27" s="11" t="s">
        <v>24</v>
      </c>
      <c r="C27" s="23">
        <v>24</v>
      </c>
      <c r="D27" s="13">
        <v>24</v>
      </c>
      <c r="E27" s="1">
        <v>104</v>
      </c>
      <c r="F27" s="1">
        <v>104</v>
      </c>
      <c r="G27" s="13">
        <v>24</v>
      </c>
      <c r="H27" s="13">
        <v>24</v>
      </c>
      <c r="I27" s="1">
        <v>104</v>
      </c>
      <c r="J27" s="1">
        <v>104</v>
      </c>
      <c r="K27" s="13">
        <v>24</v>
      </c>
      <c r="L27" s="13">
        <v>24</v>
      </c>
      <c r="M27" s="1">
        <v>104</v>
      </c>
      <c r="N27" s="1">
        <v>104</v>
      </c>
      <c r="S27" t="s">
        <v>122</v>
      </c>
      <c r="U27" t="s">
        <v>105</v>
      </c>
      <c r="V27">
        <v>104</v>
      </c>
      <c r="W27">
        <v>24</v>
      </c>
    </row>
    <row r="28" spans="1:25" ht="15.55" customHeight="1" x14ac:dyDescent="0.4">
      <c r="A28" s="19" t="s">
        <v>98</v>
      </c>
      <c r="B28" s="11" t="s">
        <v>25</v>
      </c>
      <c r="C28" s="13" t="s">
        <v>71</v>
      </c>
      <c r="D28" s="1" t="s">
        <v>107</v>
      </c>
      <c r="E28" s="13" t="s">
        <v>71</v>
      </c>
      <c r="F28" s="1" t="s">
        <v>107</v>
      </c>
      <c r="G28" s="13" t="s">
        <v>71</v>
      </c>
      <c r="H28" s="1" t="s">
        <v>107</v>
      </c>
      <c r="I28" s="13" t="s">
        <v>71</v>
      </c>
      <c r="J28" s="1" t="s">
        <v>107</v>
      </c>
      <c r="K28" s="13" t="s">
        <v>71</v>
      </c>
      <c r="L28" s="1" t="s">
        <v>107</v>
      </c>
      <c r="M28" s="13" t="s">
        <v>71</v>
      </c>
      <c r="N28" s="1" t="s">
        <v>107</v>
      </c>
      <c r="S28" t="s">
        <v>108</v>
      </c>
      <c r="U28" t="s">
        <v>106</v>
      </c>
      <c r="V28" t="s">
        <v>107</v>
      </c>
    </row>
    <row r="29" spans="1:25" ht="15.55" customHeight="1" x14ac:dyDescent="0.4">
      <c r="A29" s="19" t="s">
        <v>98</v>
      </c>
      <c r="B29" s="11" t="s">
        <v>26</v>
      </c>
      <c r="C29" s="13">
        <v>3</v>
      </c>
      <c r="D29" s="13">
        <v>6</v>
      </c>
      <c r="E29" s="13">
        <v>6</v>
      </c>
      <c r="F29" s="13">
        <v>6</v>
      </c>
      <c r="G29" s="13">
        <v>6</v>
      </c>
      <c r="H29" s="13">
        <v>6</v>
      </c>
      <c r="I29" s="13">
        <v>6</v>
      </c>
      <c r="J29" s="13">
        <v>6</v>
      </c>
      <c r="K29" s="13">
        <v>6</v>
      </c>
      <c r="L29" s="13">
        <v>6</v>
      </c>
      <c r="M29" s="13">
        <v>6</v>
      </c>
      <c r="N29" s="13">
        <v>6</v>
      </c>
      <c r="S29" t="s">
        <v>124</v>
      </c>
      <c r="U29" t="s">
        <v>109</v>
      </c>
      <c r="V29" t="s">
        <v>110</v>
      </c>
      <c r="W29" t="s">
        <v>110</v>
      </c>
    </row>
    <row r="30" spans="1:25" ht="15.55" customHeight="1" x14ac:dyDescent="0.4">
      <c r="A30" s="19" t="s">
        <v>98</v>
      </c>
      <c r="B30" s="11" t="s">
        <v>27</v>
      </c>
      <c r="C30" s="13" t="s">
        <v>84</v>
      </c>
      <c r="D30" s="13" t="s">
        <v>72</v>
      </c>
      <c r="E30" s="13" t="s">
        <v>72</v>
      </c>
      <c r="F30" s="13" t="s">
        <v>72</v>
      </c>
      <c r="G30" s="13" t="s">
        <v>72</v>
      </c>
      <c r="H30" s="13" t="s">
        <v>72</v>
      </c>
      <c r="I30" s="13" t="s">
        <v>72</v>
      </c>
      <c r="J30" s="13" t="s">
        <v>72</v>
      </c>
      <c r="K30" s="13" t="s">
        <v>72</v>
      </c>
      <c r="L30" s="13" t="s">
        <v>72</v>
      </c>
      <c r="M30" s="13" t="s">
        <v>72</v>
      </c>
      <c r="N30" s="13" t="s">
        <v>72</v>
      </c>
      <c r="S30" t="s">
        <v>111</v>
      </c>
      <c r="U30" t="s">
        <v>72</v>
      </c>
      <c r="V30" t="s">
        <v>84</v>
      </c>
      <c r="W30" t="s">
        <v>112</v>
      </c>
    </row>
    <row r="31" spans="1:25" ht="15.55" customHeight="1" x14ac:dyDescent="0.4">
      <c r="A31" s="19" t="s">
        <v>98</v>
      </c>
      <c r="B31" s="11" t="s">
        <v>28</v>
      </c>
      <c r="C31" s="13">
        <v>1</v>
      </c>
      <c r="D31" s="13">
        <v>1</v>
      </c>
      <c r="E31" s="13">
        <v>1</v>
      </c>
      <c r="F31" s="13">
        <v>1</v>
      </c>
      <c r="G31" s="13">
        <v>1</v>
      </c>
      <c r="H31" s="13">
        <v>1</v>
      </c>
      <c r="I31" s="13">
        <v>1</v>
      </c>
      <c r="J31" s="13">
        <v>1</v>
      </c>
      <c r="K31" s="13">
        <v>1</v>
      </c>
      <c r="L31" s="13">
        <v>1</v>
      </c>
      <c r="M31" s="13">
        <v>1</v>
      </c>
      <c r="N31" s="13">
        <v>1</v>
      </c>
      <c r="S31" t="s">
        <v>114</v>
      </c>
      <c r="U31" t="s">
        <v>115</v>
      </c>
      <c r="V31" t="s">
        <v>115</v>
      </c>
      <c r="W31" t="s">
        <v>115</v>
      </c>
    </row>
    <row r="32" spans="1:25" ht="15.55" customHeight="1" x14ac:dyDescent="0.4">
      <c r="A32" s="19" t="s">
        <v>98</v>
      </c>
      <c r="B32" s="11" t="s">
        <v>29</v>
      </c>
      <c r="C32" s="13" t="s">
        <v>73</v>
      </c>
      <c r="D32" s="13" t="s">
        <v>116</v>
      </c>
      <c r="E32" s="13" t="s">
        <v>116</v>
      </c>
      <c r="F32" s="13" t="s">
        <v>116</v>
      </c>
      <c r="G32" t="s">
        <v>73</v>
      </c>
      <c r="H32" t="s">
        <v>73</v>
      </c>
      <c r="I32" t="s">
        <v>73</v>
      </c>
      <c r="J32" t="s">
        <v>73</v>
      </c>
      <c r="K32" s="13" t="s">
        <v>117</v>
      </c>
      <c r="L32" s="13" t="s">
        <v>117</v>
      </c>
      <c r="M32" s="13" t="s">
        <v>117</v>
      </c>
      <c r="N32" s="13" t="s">
        <v>117</v>
      </c>
      <c r="S32" t="s">
        <v>113</v>
      </c>
      <c r="U32" t="s">
        <v>73</v>
      </c>
      <c r="V32" s="18" t="s">
        <v>116</v>
      </c>
      <c r="W32" s="18" t="s">
        <v>117</v>
      </c>
    </row>
    <row r="33" spans="1:19" ht="15.55" customHeight="1" x14ac:dyDescent="0.4">
      <c r="A33" s="19" t="s">
        <v>76</v>
      </c>
      <c r="B33" s="11" t="s">
        <v>30</v>
      </c>
      <c r="C33" s="13" t="str">
        <f>"V" &amp; C2</f>
        <v>V1</v>
      </c>
      <c r="D33" s="13" t="str">
        <f>C33</f>
        <v>V1</v>
      </c>
      <c r="E33" s="13" t="str">
        <f t="shared" ref="E33:N33" si="22">D33</f>
        <v>V1</v>
      </c>
      <c r="F33" s="13" t="str">
        <f t="shared" si="22"/>
        <v>V1</v>
      </c>
      <c r="G33" s="13" t="str">
        <f t="shared" si="22"/>
        <v>V1</v>
      </c>
      <c r="H33" s="13" t="str">
        <f t="shared" si="22"/>
        <v>V1</v>
      </c>
      <c r="I33" s="13" t="str">
        <f t="shared" si="22"/>
        <v>V1</v>
      </c>
      <c r="J33" s="13" t="str">
        <f t="shared" si="22"/>
        <v>V1</v>
      </c>
      <c r="K33" s="13" t="str">
        <f t="shared" si="22"/>
        <v>V1</v>
      </c>
      <c r="L33" s="13" t="str">
        <f t="shared" si="22"/>
        <v>V1</v>
      </c>
      <c r="M33" s="13" t="str">
        <f t="shared" si="22"/>
        <v>V1</v>
      </c>
      <c r="N33" s="13" t="str">
        <f t="shared" si="22"/>
        <v>V1</v>
      </c>
    </row>
    <row r="34" spans="1:19" ht="15.55" customHeight="1" x14ac:dyDescent="0.4">
      <c r="A34" s="19" t="s">
        <v>76</v>
      </c>
      <c r="B34" s="11" t="s">
        <v>31</v>
      </c>
      <c r="C34" s="13" t="s">
        <v>74</v>
      </c>
      <c r="D34" s="1" t="str">
        <f t="shared" ref="D34:N34" si="23">C34</f>
        <v>Agg_Pat.csv</v>
      </c>
      <c r="E34" s="1" t="str">
        <f t="shared" si="23"/>
        <v>Agg_Pat.csv</v>
      </c>
      <c r="F34" s="1" t="str">
        <f t="shared" si="23"/>
        <v>Agg_Pat.csv</v>
      </c>
      <c r="G34" s="1" t="str">
        <f t="shared" si="23"/>
        <v>Agg_Pat.csv</v>
      </c>
      <c r="H34" s="1" t="str">
        <f t="shared" si="23"/>
        <v>Agg_Pat.csv</v>
      </c>
      <c r="I34" s="1" t="str">
        <f t="shared" si="23"/>
        <v>Agg_Pat.csv</v>
      </c>
      <c r="J34" s="1" t="str">
        <f t="shared" si="23"/>
        <v>Agg_Pat.csv</v>
      </c>
      <c r="K34" s="1" t="str">
        <f t="shared" si="23"/>
        <v>Agg_Pat.csv</v>
      </c>
      <c r="L34" s="1" t="str">
        <f t="shared" si="23"/>
        <v>Agg_Pat.csv</v>
      </c>
      <c r="M34" s="1" t="str">
        <f t="shared" si="23"/>
        <v>Agg_Pat.csv</v>
      </c>
      <c r="N34" s="1" t="str">
        <f t="shared" si="23"/>
        <v>Agg_Pat.csv</v>
      </c>
    </row>
    <row r="35" spans="1:19" ht="15.55" customHeight="1" x14ac:dyDescent="0.4">
      <c r="A35" s="19" t="s">
        <v>76</v>
      </c>
      <c r="B35" s="11" t="s">
        <v>32</v>
      </c>
      <c r="C35" s="13" t="s">
        <v>75</v>
      </c>
      <c r="D35" s="1" t="str">
        <f t="shared" ref="D35:N35" si="24">C35</f>
        <v>Aggreg_Dataset</v>
      </c>
      <c r="E35" s="1" t="str">
        <f t="shared" si="24"/>
        <v>Aggreg_Dataset</v>
      </c>
      <c r="F35" s="1" t="str">
        <f t="shared" si="24"/>
        <v>Aggreg_Dataset</v>
      </c>
      <c r="G35" s="1" t="str">
        <f t="shared" si="24"/>
        <v>Aggreg_Dataset</v>
      </c>
      <c r="H35" s="1" t="str">
        <f t="shared" si="24"/>
        <v>Aggreg_Dataset</v>
      </c>
      <c r="I35" s="1" t="str">
        <f t="shared" si="24"/>
        <v>Aggreg_Dataset</v>
      </c>
      <c r="J35" s="1" t="str">
        <f t="shared" si="24"/>
        <v>Aggreg_Dataset</v>
      </c>
      <c r="K35" s="1" t="str">
        <f t="shared" si="24"/>
        <v>Aggreg_Dataset</v>
      </c>
      <c r="L35" s="1" t="str">
        <f t="shared" si="24"/>
        <v>Aggreg_Dataset</v>
      </c>
      <c r="M35" s="1" t="str">
        <f t="shared" si="24"/>
        <v>Aggreg_Dataset</v>
      </c>
      <c r="N35" s="1" t="str">
        <f t="shared" si="24"/>
        <v>Aggreg_Dataset</v>
      </c>
    </row>
    <row r="36" spans="1:19" ht="15.55" customHeight="1" x14ac:dyDescent="0.4">
      <c r="A36" s="19" t="s">
        <v>76</v>
      </c>
      <c r="B36" s="9" t="s">
        <v>33</v>
      </c>
      <c r="C36" s="3" t="b">
        <v>1</v>
      </c>
      <c r="D36" s="1" t="b">
        <f t="shared" ref="D36:N36" si="25">C36</f>
        <v>1</v>
      </c>
      <c r="E36" s="1" t="b">
        <f t="shared" si="25"/>
        <v>1</v>
      </c>
      <c r="F36" s="1" t="b">
        <f t="shared" si="25"/>
        <v>1</v>
      </c>
      <c r="G36" s="1" t="b">
        <f t="shared" si="25"/>
        <v>1</v>
      </c>
      <c r="H36" s="1" t="b">
        <f t="shared" si="25"/>
        <v>1</v>
      </c>
      <c r="I36" s="1" t="b">
        <f t="shared" si="25"/>
        <v>1</v>
      </c>
      <c r="J36" s="1" t="b">
        <f t="shared" si="25"/>
        <v>1</v>
      </c>
      <c r="K36" s="1" t="b">
        <f t="shared" si="25"/>
        <v>1</v>
      </c>
      <c r="L36" s="1" t="b">
        <f t="shared" si="25"/>
        <v>1</v>
      </c>
      <c r="M36" s="1" t="b">
        <f t="shared" si="25"/>
        <v>1</v>
      </c>
      <c r="N36" s="1" t="b">
        <f t="shared" si="25"/>
        <v>1</v>
      </c>
    </row>
    <row r="37" spans="1:19" ht="15.55" customHeight="1" x14ac:dyDescent="0.4">
      <c r="A37" s="19" t="s">
        <v>76</v>
      </c>
      <c r="B37" s="9" t="s">
        <v>34</v>
      </c>
      <c r="C37" s="10" t="s">
        <v>76</v>
      </c>
      <c r="D37" s="1" t="str">
        <f t="shared" ref="D37:N37" si="26">C37</f>
        <v>YES</v>
      </c>
      <c r="E37" s="1" t="str">
        <f t="shared" si="26"/>
        <v>YES</v>
      </c>
      <c r="F37" s="1" t="str">
        <f t="shared" si="26"/>
        <v>YES</v>
      </c>
      <c r="G37" s="1" t="str">
        <f t="shared" si="26"/>
        <v>YES</v>
      </c>
      <c r="H37" s="1" t="str">
        <f t="shared" si="26"/>
        <v>YES</v>
      </c>
      <c r="I37" s="1" t="str">
        <f t="shared" si="26"/>
        <v>YES</v>
      </c>
      <c r="J37" s="1" t="str">
        <f t="shared" si="26"/>
        <v>YES</v>
      </c>
      <c r="K37" s="1" t="str">
        <f t="shared" si="26"/>
        <v>YES</v>
      </c>
      <c r="L37" s="1" t="str">
        <f t="shared" si="26"/>
        <v>YES</v>
      </c>
      <c r="M37" s="1" t="str">
        <f t="shared" si="26"/>
        <v>YES</v>
      </c>
      <c r="N37" s="1" t="str">
        <f t="shared" si="26"/>
        <v>YES</v>
      </c>
    </row>
    <row r="38" spans="1:19" ht="15.55" customHeight="1" x14ac:dyDescent="0.4">
      <c r="A38" s="19" t="s">
        <v>76</v>
      </c>
      <c r="B38" s="9" t="s">
        <v>35</v>
      </c>
      <c r="C38" s="10" t="s">
        <v>76</v>
      </c>
      <c r="D38" s="1" t="str">
        <f t="shared" ref="D38:N38" si="27">C38</f>
        <v>YES</v>
      </c>
      <c r="E38" s="1" t="str">
        <f t="shared" si="27"/>
        <v>YES</v>
      </c>
      <c r="F38" s="1" t="str">
        <f t="shared" si="27"/>
        <v>YES</v>
      </c>
      <c r="G38" s="1" t="str">
        <f t="shared" si="27"/>
        <v>YES</v>
      </c>
      <c r="H38" s="1" t="str">
        <f t="shared" si="27"/>
        <v>YES</v>
      </c>
      <c r="I38" s="1" t="str">
        <f t="shared" si="27"/>
        <v>YES</v>
      </c>
      <c r="J38" s="1" t="str">
        <f t="shared" si="27"/>
        <v>YES</v>
      </c>
      <c r="K38" s="1" t="str">
        <f t="shared" si="27"/>
        <v>YES</v>
      </c>
      <c r="L38" s="1" t="str">
        <f t="shared" si="27"/>
        <v>YES</v>
      </c>
      <c r="M38" s="1" t="str">
        <f t="shared" si="27"/>
        <v>YES</v>
      </c>
      <c r="N38" s="1" t="str">
        <f t="shared" si="27"/>
        <v>YES</v>
      </c>
    </row>
    <row r="39" spans="1:19" ht="15.55" customHeight="1" x14ac:dyDescent="0.4">
      <c r="A39" s="19" t="s">
        <v>76</v>
      </c>
      <c r="B39" s="9" t="s">
        <v>36</v>
      </c>
      <c r="C39" s="10"/>
      <c r="D39" s="1">
        <f t="shared" ref="D39:N39" si="28">C39</f>
        <v>0</v>
      </c>
      <c r="E39" s="1">
        <f t="shared" si="28"/>
        <v>0</v>
      </c>
      <c r="F39" s="1">
        <f t="shared" si="28"/>
        <v>0</v>
      </c>
      <c r="G39" s="1">
        <f t="shared" si="28"/>
        <v>0</v>
      </c>
      <c r="H39" s="1">
        <f t="shared" si="28"/>
        <v>0</v>
      </c>
      <c r="I39" s="1">
        <f t="shared" si="28"/>
        <v>0</v>
      </c>
      <c r="J39" s="1">
        <f t="shared" si="28"/>
        <v>0</v>
      </c>
      <c r="K39" s="1">
        <f t="shared" si="28"/>
        <v>0</v>
      </c>
      <c r="L39" s="1">
        <f t="shared" si="28"/>
        <v>0</v>
      </c>
      <c r="M39" s="1">
        <f t="shared" si="28"/>
        <v>0</v>
      </c>
      <c r="N39" s="1">
        <f t="shared" si="28"/>
        <v>0</v>
      </c>
    </row>
    <row r="40" spans="1:19" ht="15.55" customHeight="1" x14ac:dyDescent="0.4">
      <c r="A40" s="19" t="s">
        <v>76</v>
      </c>
      <c r="B40" s="9" t="s">
        <v>37</v>
      </c>
      <c r="C40" s="10" t="str">
        <f>"Cl_T"</f>
        <v>Cl_T</v>
      </c>
      <c r="D40" s="10" t="str">
        <f t="shared" ref="D40:N40" si="29">"Cl_T"</f>
        <v>Cl_T</v>
      </c>
      <c r="E40" s="10" t="str">
        <f t="shared" si="29"/>
        <v>Cl_T</v>
      </c>
      <c r="F40" s="10" t="str">
        <f t="shared" si="29"/>
        <v>Cl_T</v>
      </c>
      <c r="G40" s="10" t="str">
        <f t="shared" si="29"/>
        <v>Cl_T</v>
      </c>
      <c r="H40" s="10" t="str">
        <f t="shared" si="29"/>
        <v>Cl_T</v>
      </c>
      <c r="I40" s="10" t="str">
        <f t="shared" si="29"/>
        <v>Cl_T</v>
      </c>
      <c r="J40" s="10" t="str">
        <f t="shared" si="29"/>
        <v>Cl_T</v>
      </c>
      <c r="K40" s="10" t="str">
        <f t="shared" si="29"/>
        <v>Cl_T</v>
      </c>
      <c r="L40" s="10" t="str">
        <f t="shared" si="29"/>
        <v>Cl_T</v>
      </c>
      <c r="M40" s="10" t="str">
        <f t="shared" si="29"/>
        <v>Cl_T</v>
      </c>
      <c r="N40" s="10" t="str">
        <f t="shared" si="29"/>
        <v>Cl_T</v>
      </c>
    </row>
    <row r="41" spans="1:19" ht="15.55" customHeight="1" x14ac:dyDescent="0.4">
      <c r="A41" s="19" t="s">
        <v>76</v>
      </c>
      <c r="B41" s="9" t="s">
        <v>38</v>
      </c>
      <c r="C41" s="10" t="s">
        <v>77</v>
      </c>
      <c r="D41" s="1" t="str">
        <f t="shared" ref="D41:N41" si="30">C41</f>
        <v>KMeans</v>
      </c>
      <c r="E41" s="1" t="str">
        <f t="shared" si="30"/>
        <v>KMeans</v>
      </c>
      <c r="F41" s="1" t="str">
        <f t="shared" si="30"/>
        <v>KMeans</v>
      </c>
      <c r="G41" s="1" t="str">
        <f t="shared" si="30"/>
        <v>KMeans</v>
      </c>
      <c r="H41" s="1" t="str">
        <f t="shared" si="30"/>
        <v>KMeans</v>
      </c>
      <c r="I41" s="1" t="str">
        <f t="shared" si="30"/>
        <v>KMeans</v>
      </c>
      <c r="J41" s="1" t="str">
        <f t="shared" si="30"/>
        <v>KMeans</v>
      </c>
      <c r="K41" s="1" t="str">
        <f t="shared" si="30"/>
        <v>KMeans</v>
      </c>
      <c r="L41" s="1" t="str">
        <f t="shared" si="30"/>
        <v>KMeans</v>
      </c>
      <c r="M41" s="1" t="str">
        <f t="shared" si="30"/>
        <v>KMeans</v>
      </c>
      <c r="N41" s="1" t="str">
        <f t="shared" si="30"/>
        <v>KMeans</v>
      </c>
    </row>
    <row r="42" spans="1:19" ht="15.55" customHeight="1" x14ac:dyDescent="0.4">
      <c r="A42" s="19" t="s">
        <v>76</v>
      </c>
      <c r="B42" s="9" t="s">
        <v>39</v>
      </c>
      <c r="C42" s="10" t="s">
        <v>78</v>
      </c>
      <c r="D42" s="1" t="str">
        <f t="shared" ref="D42:N42" si="31">C42</f>
        <v>ward</v>
      </c>
      <c r="E42" s="1" t="str">
        <f t="shared" si="31"/>
        <v>ward</v>
      </c>
      <c r="F42" s="1" t="str">
        <f t="shared" si="31"/>
        <v>ward</v>
      </c>
      <c r="G42" s="1" t="str">
        <f t="shared" si="31"/>
        <v>ward</v>
      </c>
      <c r="H42" s="1" t="str">
        <f t="shared" si="31"/>
        <v>ward</v>
      </c>
      <c r="I42" s="1" t="str">
        <f t="shared" si="31"/>
        <v>ward</v>
      </c>
      <c r="J42" s="1" t="str">
        <f t="shared" si="31"/>
        <v>ward</v>
      </c>
      <c r="K42" s="1" t="str">
        <f t="shared" si="31"/>
        <v>ward</v>
      </c>
      <c r="L42" s="1" t="str">
        <f t="shared" si="31"/>
        <v>ward</v>
      </c>
      <c r="M42" s="1" t="str">
        <f t="shared" si="31"/>
        <v>ward</v>
      </c>
      <c r="N42" s="1" t="str">
        <f t="shared" si="31"/>
        <v>ward</v>
      </c>
    </row>
    <row r="43" spans="1:19" ht="15.55" customHeight="1" x14ac:dyDescent="0.4">
      <c r="A43" s="19" t="s">
        <v>76</v>
      </c>
      <c r="B43" s="9" t="s">
        <v>40</v>
      </c>
      <c r="C43" s="10" t="s">
        <v>79</v>
      </c>
      <c r="D43" s="1" t="str">
        <f t="shared" ref="D43:N43" si="32">C43</f>
        <v>None</v>
      </c>
      <c r="E43" s="1" t="str">
        <f t="shared" si="32"/>
        <v>None</v>
      </c>
      <c r="F43" s="1" t="str">
        <f t="shared" si="32"/>
        <v>None</v>
      </c>
      <c r="G43" s="1" t="str">
        <f t="shared" si="32"/>
        <v>None</v>
      </c>
      <c r="H43" s="1" t="str">
        <f t="shared" si="32"/>
        <v>None</v>
      </c>
      <c r="I43" s="1" t="str">
        <f t="shared" si="32"/>
        <v>None</v>
      </c>
      <c r="J43" s="1" t="str">
        <f t="shared" si="32"/>
        <v>None</v>
      </c>
      <c r="K43" s="1" t="str">
        <f t="shared" si="32"/>
        <v>None</v>
      </c>
      <c r="L43" s="1" t="str">
        <f t="shared" si="32"/>
        <v>None</v>
      </c>
      <c r="M43" s="1" t="str">
        <f t="shared" si="32"/>
        <v>None</v>
      </c>
      <c r="N43" s="1" t="str">
        <f t="shared" si="32"/>
        <v>None</v>
      </c>
    </row>
    <row r="44" spans="1:19" ht="15.55" customHeight="1" x14ac:dyDescent="0.4">
      <c r="A44" s="19" t="s">
        <v>76</v>
      </c>
      <c r="B44" s="9" t="s">
        <v>41</v>
      </c>
      <c r="C44" s="10">
        <v>10</v>
      </c>
      <c r="D44" s="1">
        <f t="shared" ref="D44:N44" si="33">C44</f>
        <v>10</v>
      </c>
      <c r="E44" s="1">
        <f t="shared" si="33"/>
        <v>10</v>
      </c>
      <c r="F44" s="1">
        <f t="shared" si="33"/>
        <v>10</v>
      </c>
      <c r="G44" s="1">
        <f t="shared" si="33"/>
        <v>10</v>
      </c>
      <c r="H44" s="1">
        <f t="shared" si="33"/>
        <v>10</v>
      </c>
      <c r="I44" s="1">
        <f t="shared" si="33"/>
        <v>10</v>
      </c>
      <c r="J44" s="1">
        <f t="shared" si="33"/>
        <v>10</v>
      </c>
      <c r="K44" s="1">
        <f t="shared" si="33"/>
        <v>10</v>
      </c>
      <c r="L44" s="1">
        <f t="shared" si="33"/>
        <v>10</v>
      </c>
      <c r="M44" s="1">
        <f t="shared" si="33"/>
        <v>10</v>
      </c>
      <c r="N44" s="1">
        <f t="shared" si="33"/>
        <v>10</v>
      </c>
    </row>
    <row r="45" spans="1:19" ht="15.55" customHeight="1" x14ac:dyDescent="0.4">
      <c r="A45" s="19" t="s">
        <v>76</v>
      </c>
      <c r="B45" s="9" t="s">
        <v>42</v>
      </c>
      <c r="C45" s="10">
        <v>0.05</v>
      </c>
      <c r="D45" s="1">
        <f t="shared" ref="D45:N45" si="34">C45</f>
        <v>0.05</v>
      </c>
      <c r="E45" s="1">
        <f t="shared" si="34"/>
        <v>0.05</v>
      </c>
      <c r="F45" s="1">
        <f t="shared" si="34"/>
        <v>0.05</v>
      </c>
      <c r="G45" s="1">
        <f t="shared" si="34"/>
        <v>0.05</v>
      </c>
      <c r="H45" s="1">
        <f t="shared" si="34"/>
        <v>0.05</v>
      </c>
      <c r="I45" s="1">
        <f t="shared" si="34"/>
        <v>0.05</v>
      </c>
      <c r="J45" s="1">
        <f t="shared" si="34"/>
        <v>0.05</v>
      </c>
      <c r="K45" s="1">
        <f t="shared" si="34"/>
        <v>0.05</v>
      </c>
      <c r="L45" s="1">
        <f t="shared" si="34"/>
        <v>0.05</v>
      </c>
      <c r="M45" s="1">
        <f t="shared" si="34"/>
        <v>0.05</v>
      </c>
      <c r="N45" s="1">
        <f t="shared" si="34"/>
        <v>0.05</v>
      </c>
    </row>
    <row r="46" spans="1:19" ht="15.55" customHeight="1" x14ac:dyDescent="0.4">
      <c r="A46" s="19" t="s">
        <v>98</v>
      </c>
      <c r="B46" s="9" t="s">
        <v>135</v>
      </c>
      <c r="C46" s="10" t="str">
        <f>"Mlflow_Exp_NIP_"  &amp;C40 &amp; C2</f>
        <v>Mlflow_Exp_NIP_Cl_T1</v>
      </c>
      <c r="D46" s="10" t="str">
        <f t="shared" ref="D46:N46" si="35">"Mlflow_Exp_NIP_"  &amp;D40 &amp; D2</f>
        <v>Mlflow_Exp_NIP_Cl_T2</v>
      </c>
      <c r="E46" s="10" t="str">
        <f t="shared" si="35"/>
        <v>Mlflow_Exp_NIP_Cl_T3</v>
      </c>
      <c r="F46" s="10" t="str">
        <f t="shared" si="35"/>
        <v>Mlflow_Exp_NIP_Cl_T4</v>
      </c>
      <c r="G46" s="10" t="str">
        <f t="shared" si="35"/>
        <v>Mlflow_Exp_NIP_Cl_T5</v>
      </c>
      <c r="H46" s="10" t="str">
        <f t="shared" si="35"/>
        <v>Mlflow_Exp_NIP_Cl_T6</v>
      </c>
      <c r="I46" s="10" t="str">
        <f t="shared" si="35"/>
        <v>Mlflow_Exp_NIP_Cl_T7</v>
      </c>
      <c r="J46" s="10" t="str">
        <f t="shared" si="35"/>
        <v>Mlflow_Exp_NIP_Cl_T8</v>
      </c>
      <c r="K46" s="10" t="str">
        <f t="shared" si="35"/>
        <v>Mlflow_Exp_NIP_Cl_T9</v>
      </c>
      <c r="L46" s="10" t="str">
        <f t="shared" si="35"/>
        <v>Mlflow_Exp_NIP_Cl_T10</v>
      </c>
      <c r="M46" s="10" t="str">
        <f t="shared" si="35"/>
        <v>Mlflow_Exp_NIP_Cl_T11</v>
      </c>
      <c r="N46" s="10" t="str">
        <f t="shared" si="35"/>
        <v>Mlflow_Exp_NIP_Cl_T12</v>
      </c>
      <c r="S46" t="s">
        <v>118</v>
      </c>
    </row>
    <row r="47" spans="1:19" ht="15.55" customHeight="1" x14ac:dyDescent="0.4">
      <c r="A47" s="19" t="s">
        <v>76</v>
      </c>
      <c r="B47" s="7" t="s">
        <v>43</v>
      </c>
      <c r="C47" s="3" t="b">
        <v>1</v>
      </c>
      <c r="D47" s="1" t="b">
        <f t="shared" ref="D47:N47" si="36">C47</f>
        <v>1</v>
      </c>
      <c r="E47" s="1" t="b">
        <f t="shared" si="36"/>
        <v>1</v>
      </c>
      <c r="F47" s="1" t="b">
        <f t="shared" si="36"/>
        <v>1</v>
      </c>
      <c r="G47" s="1" t="b">
        <f t="shared" si="36"/>
        <v>1</v>
      </c>
      <c r="H47" s="1" t="b">
        <f t="shared" si="36"/>
        <v>1</v>
      </c>
      <c r="I47" s="1" t="b">
        <f t="shared" si="36"/>
        <v>1</v>
      </c>
      <c r="J47" s="1" t="b">
        <f t="shared" si="36"/>
        <v>1</v>
      </c>
      <c r="K47" s="1" t="b">
        <f t="shared" si="36"/>
        <v>1</v>
      </c>
      <c r="L47" s="1" t="b">
        <f t="shared" si="36"/>
        <v>1</v>
      </c>
      <c r="M47" s="1" t="b">
        <f t="shared" si="36"/>
        <v>1</v>
      </c>
      <c r="N47" s="1" t="b">
        <f t="shared" si="36"/>
        <v>1</v>
      </c>
    </row>
    <row r="48" spans="1:19" ht="15.55" customHeight="1" x14ac:dyDescent="0.4">
      <c r="A48" s="19" t="s">
        <v>76</v>
      </c>
      <c r="B48" s="7" t="s">
        <v>44</v>
      </c>
      <c r="C48" s="8">
        <v>1</v>
      </c>
      <c r="D48" s="1">
        <f t="shared" ref="D48:N48" si="37">C48</f>
        <v>1</v>
      </c>
      <c r="E48" s="1">
        <f t="shared" si="37"/>
        <v>1</v>
      </c>
      <c r="F48" s="1">
        <f t="shared" si="37"/>
        <v>1</v>
      </c>
      <c r="G48" s="1">
        <f t="shared" si="37"/>
        <v>1</v>
      </c>
      <c r="H48" s="1">
        <f t="shared" si="37"/>
        <v>1</v>
      </c>
      <c r="I48" s="1">
        <f t="shared" si="37"/>
        <v>1</v>
      </c>
      <c r="J48" s="1">
        <f t="shared" si="37"/>
        <v>1</v>
      </c>
      <c r="K48" s="1">
        <f t="shared" si="37"/>
        <v>1</v>
      </c>
      <c r="L48" s="1">
        <f t="shared" si="37"/>
        <v>1</v>
      </c>
      <c r="M48" s="1">
        <f t="shared" si="37"/>
        <v>1</v>
      </c>
      <c r="N48" s="1">
        <f t="shared" si="37"/>
        <v>1</v>
      </c>
    </row>
    <row r="49" spans="1:20" ht="15.55" customHeight="1" x14ac:dyDescent="0.4">
      <c r="A49" s="19" t="s">
        <v>76</v>
      </c>
      <c r="B49" s="7" t="s">
        <v>45</v>
      </c>
      <c r="C49" s="8" t="str">
        <f>"Cl_P"</f>
        <v>Cl_P</v>
      </c>
      <c r="D49" s="8" t="str">
        <f t="shared" ref="D49:N49" si="38">"Cl_P"</f>
        <v>Cl_P</v>
      </c>
      <c r="E49" s="8" t="str">
        <f t="shared" si="38"/>
        <v>Cl_P</v>
      </c>
      <c r="F49" s="8" t="str">
        <f t="shared" si="38"/>
        <v>Cl_P</v>
      </c>
      <c r="G49" s="8" t="str">
        <f t="shared" si="38"/>
        <v>Cl_P</v>
      </c>
      <c r="H49" s="8" t="str">
        <f t="shared" si="38"/>
        <v>Cl_P</v>
      </c>
      <c r="I49" s="8" t="str">
        <f t="shared" si="38"/>
        <v>Cl_P</v>
      </c>
      <c r="J49" s="8" t="str">
        <f t="shared" si="38"/>
        <v>Cl_P</v>
      </c>
      <c r="K49" s="8" t="str">
        <f t="shared" si="38"/>
        <v>Cl_P</v>
      </c>
      <c r="L49" s="8" t="str">
        <f t="shared" si="38"/>
        <v>Cl_P</v>
      </c>
      <c r="M49" s="8" t="str">
        <f t="shared" si="38"/>
        <v>Cl_P</v>
      </c>
      <c r="N49" s="8" t="str">
        <f t="shared" si="38"/>
        <v>Cl_P</v>
      </c>
    </row>
    <row r="50" spans="1:20" ht="15.55" customHeight="1" x14ac:dyDescent="0.4">
      <c r="A50" s="19" t="s">
        <v>76</v>
      </c>
      <c r="B50" s="7" t="s">
        <v>46</v>
      </c>
      <c r="C50" s="8" t="s">
        <v>77</v>
      </c>
      <c r="D50" s="1" t="str">
        <f t="shared" ref="D50:N50" si="39">C50</f>
        <v>KMeans</v>
      </c>
      <c r="E50" s="1" t="str">
        <f t="shared" si="39"/>
        <v>KMeans</v>
      </c>
      <c r="F50" s="1" t="str">
        <f t="shared" si="39"/>
        <v>KMeans</v>
      </c>
      <c r="G50" s="1" t="str">
        <f t="shared" si="39"/>
        <v>KMeans</v>
      </c>
      <c r="H50" s="1" t="str">
        <f t="shared" si="39"/>
        <v>KMeans</v>
      </c>
      <c r="I50" s="1" t="str">
        <f t="shared" si="39"/>
        <v>KMeans</v>
      </c>
      <c r="J50" s="1" t="str">
        <f t="shared" si="39"/>
        <v>KMeans</v>
      </c>
      <c r="K50" s="1" t="str">
        <f t="shared" si="39"/>
        <v>KMeans</v>
      </c>
      <c r="L50" s="1" t="str">
        <f t="shared" si="39"/>
        <v>KMeans</v>
      </c>
      <c r="M50" s="1" t="str">
        <f t="shared" si="39"/>
        <v>KMeans</v>
      </c>
      <c r="N50" s="1" t="str">
        <f t="shared" si="39"/>
        <v>KMeans</v>
      </c>
    </row>
    <row r="51" spans="1:20" ht="15.55" customHeight="1" x14ac:dyDescent="0.4">
      <c r="A51" s="19" t="s">
        <v>76</v>
      </c>
      <c r="B51" s="7" t="s">
        <v>47</v>
      </c>
      <c r="C51" s="8" t="s">
        <v>78</v>
      </c>
      <c r="D51" s="1" t="str">
        <f t="shared" ref="D51:N51" si="40">C51</f>
        <v>ward</v>
      </c>
      <c r="E51" s="1" t="str">
        <f t="shared" si="40"/>
        <v>ward</v>
      </c>
      <c r="F51" s="1" t="str">
        <f t="shared" si="40"/>
        <v>ward</v>
      </c>
      <c r="G51" s="1" t="str">
        <f t="shared" si="40"/>
        <v>ward</v>
      </c>
      <c r="H51" s="1" t="str">
        <f t="shared" si="40"/>
        <v>ward</v>
      </c>
      <c r="I51" s="1" t="str">
        <f t="shared" si="40"/>
        <v>ward</v>
      </c>
      <c r="J51" s="1" t="str">
        <f t="shared" si="40"/>
        <v>ward</v>
      </c>
      <c r="K51" s="1" t="str">
        <f t="shared" si="40"/>
        <v>ward</v>
      </c>
      <c r="L51" s="1" t="str">
        <f t="shared" si="40"/>
        <v>ward</v>
      </c>
      <c r="M51" s="1" t="str">
        <f t="shared" si="40"/>
        <v>ward</v>
      </c>
      <c r="N51" s="1" t="str">
        <f t="shared" si="40"/>
        <v>ward</v>
      </c>
    </row>
    <row r="52" spans="1:20" ht="15.55" customHeight="1" x14ac:dyDescent="0.4">
      <c r="A52" s="19" t="s">
        <v>76</v>
      </c>
      <c r="B52" s="7" t="s">
        <v>48</v>
      </c>
      <c r="C52" s="8" t="s">
        <v>79</v>
      </c>
      <c r="D52" s="1" t="str">
        <f t="shared" ref="D52:N52" si="41">C52</f>
        <v>None</v>
      </c>
      <c r="E52" s="1" t="str">
        <f t="shared" si="41"/>
        <v>None</v>
      </c>
      <c r="F52" s="1" t="str">
        <f t="shared" si="41"/>
        <v>None</v>
      </c>
      <c r="G52" s="1" t="str">
        <f t="shared" si="41"/>
        <v>None</v>
      </c>
      <c r="H52" s="1" t="str">
        <f t="shared" si="41"/>
        <v>None</v>
      </c>
      <c r="I52" s="1" t="str">
        <f t="shared" si="41"/>
        <v>None</v>
      </c>
      <c r="J52" s="1" t="str">
        <f t="shared" si="41"/>
        <v>None</v>
      </c>
      <c r="K52" s="1" t="str">
        <f t="shared" si="41"/>
        <v>None</v>
      </c>
      <c r="L52" s="1" t="str">
        <f t="shared" si="41"/>
        <v>None</v>
      </c>
      <c r="M52" s="1" t="str">
        <f t="shared" si="41"/>
        <v>None</v>
      </c>
      <c r="N52" s="1" t="str">
        <f t="shared" si="41"/>
        <v>None</v>
      </c>
    </row>
    <row r="53" spans="1:20" ht="15.55" customHeight="1" x14ac:dyDescent="0.4">
      <c r="A53" s="19" t="s">
        <v>76</v>
      </c>
      <c r="B53" s="7" t="s">
        <v>49</v>
      </c>
      <c r="C53" s="8">
        <v>10</v>
      </c>
      <c r="D53" s="1">
        <f t="shared" ref="D53:N53" si="42">C53</f>
        <v>10</v>
      </c>
      <c r="E53" s="1">
        <f t="shared" si="42"/>
        <v>10</v>
      </c>
      <c r="F53" s="1">
        <f t="shared" si="42"/>
        <v>10</v>
      </c>
      <c r="G53" s="1">
        <f t="shared" si="42"/>
        <v>10</v>
      </c>
      <c r="H53" s="1">
        <f t="shared" si="42"/>
        <v>10</v>
      </c>
      <c r="I53" s="1">
        <f t="shared" si="42"/>
        <v>10</v>
      </c>
      <c r="J53" s="1">
        <f t="shared" si="42"/>
        <v>10</v>
      </c>
      <c r="K53" s="1">
        <f t="shared" si="42"/>
        <v>10</v>
      </c>
      <c r="L53" s="1">
        <f t="shared" si="42"/>
        <v>10</v>
      </c>
      <c r="M53" s="1">
        <f t="shared" si="42"/>
        <v>10</v>
      </c>
      <c r="N53" s="1">
        <f t="shared" si="42"/>
        <v>10</v>
      </c>
    </row>
    <row r="54" spans="1:20" ht="15.55" customHeight="1" x14ac:dyDescent="0.4">
      <c r="A54" s="19" t="s">
        <v>76</v>
      </c>
      <c r="B54" s="7" t="s">
        <v>50</v>
      </c>
      <c r="C54" s="8">
        <v>0.05</v>
      </c>
      <c r="D54" s="1">
        <f t="shared" ref="D54:N54" si="43">C54</f>
        <v>0.05</v>
      </c>
      <c r="E54" s="1">
        <f t="shared" si="43"/>
        <v>0.05</v>
      </c>
      <c r="F54" s="1">
        <f t="shared" si="43"/>
        <v>0.05</v>
      </c>
      <c r="G54" s="1">
        <f t="shared" si="43"/>
        <v>0.05</v>
      </c>
      <c r="H54" s="1">
        <f t="shared" si="43"/>
        <v>0.05</v>
      </c>
      <c r="I54" s="1">
        <f t="shared" si="43"/>
        <v>0.05</v>
      </c>
      <c r="J54" s="1">
        <f t="shared" si="43"/>
        <v>0.05</v>
      </c>
      <c r="K54" s="1">
        <f t="shared" si="43"/>
        <v>0.05</v>
      </c>
      <c r="L54" s="1">
        <f t="shared" si="43"/>
        <v>0.05</v>
      </c>
      <c r="M54" s="1">
        <f t="shared" si="43"/>
        <v>0.05</v>
      </c>
      <c r="N54" s="1">
        <f t="shared" si="43"/>
        <v>0.05</v>
      </c>
    </row>
    <row r="55" spans="1:20" ht="15.55" customHeight="1" x14ac:dyDescent="0.4">
      <c r="A55" s="19" t="s">
        <v>98</v>
      </c>
      <c r="B55" s="7" t="s">
        <v>51</v>
      </c>
      <c r="C55" s="8" t="s">
        <v>80</v>
      </c>
      <c r="D55" s="8" t="s">
        <v>80</v>
      </c>
      <c r="E55" s="8" t="s">
        <v>80</v>
      </c>
      <c r="F55" s="8" t="s">
        <v>80</v>
      </c>
      <c r="G55" s="8" t="s">
        <v>80</v>
      </c>
      <c r="H55" s="8" t="s">
        <v>80</v>
      </c>
      <c r="I55" s="8" t="s">
        <v>80</v>
      </c>
      <c r="J55" s="8" t="s">
        <v>80</v>
      </c>
      <c r="K55" s="8" t="s">
        <v>80</v>
      </c>
      <c r="L55" s="8" t="s">
        <v>80</v>
      </c>
      <c r="M55" s="8" t="s">
        <v>80</v>
      </c>
      <c r="N55" s="8" t="s">
        <v>80</v>
      </c>
      <c r="S55" t="s">
        <v>103</v>
      </c>
    </row>
    <row r="56" spans="1:20" ht="15.55" customHeight="1" x14ac:dyDescent="0.4">
      <c r="A56" s="19" t="s">
        <v>98</v>
      </c>
      <c r="B56" s="7" t="s">
        <v>52</v>
      </c>
      <c r="C56" s="8" t="s">
        <v>81</v>
      </c>
      <c r="D56" s="8" t="s">
        <v>81</v>
      </c>
      <c r="E56" s="8" t="s">
        <v>81</v>
      </c>
      <c r="F56" s="8" t="s">
        <v>81</v>
      </c>
      <c r="G56" s="8" t="s">
        <v>81</v>
      </c>
      <c r="H56" s="8" t="s">
        <v>81</v>
      </c>
      <c r="I56" s="8" t="s">
        <v>81</v>
      </c>
      <c r="J56" s="8" t="s">
        <v>81</v>
      </c>
      <c r="K56" s="8" t="s">
        <v>81</v>
      </c>
      <c r="L56" s="8" t="s">
        <v>81</v>
      </c>
      <c r="M56" s="8" t="s">
        <v>81</v>
      </c>
      <c r="N56" s="8" t="s">
        <v>81</v>
      </c>
      <c r="S56" t="s">
        <v>104</v>
      </c>
      <c r="T56" s="1" t="s">
        <v>81</v>
      </c>
    </row>
    <row r="57" spans="1:20" ht="15.55" customHeight="1" x14ac:dyDescent="0.4">
      <c r="A57" s="19" t="s">
        <v>98</v>
      </c>
      <c r="B57" s="7" t="s">
        <v>53</v>
      </c>
      <c r="C57" s="8">
        <v>8</v>
      </c>
      <c r="D57" s="8">
        <v>8</v>
      </c>
      <c r="E57" s="8">
        <v>34</v>
      </c>
      <c r="F57" s="8">
        <v>34</v>
      </c>
      <c r="G57" s="8">
        <v>8</v>
      </c>
      <c r="H57" s="8">
        <v>8</v>
      </c>
      <c r="I57" s="8">
        <v>34</v>
      </c>
      <c r="J57" s="8">
        <v>34</v>
      </c>
      <c r="K57" s="8">
        <v>8</v>
      </c>
      <c r="L57" s="8">
        <v>8</v>
      </c>
      <c r="M57" s="8">
        <v>34</v>
      </c>
      <c r="N57" s="8">
        <v>34</v>
      </c>
      <c r="S57" t="s">
        <v>123</v>
      </c>
      <c r="T57" s="1">
        <v>2</v>
      </c>
    </row>
    <row r="58" spans="1:20" ht="15.55" customHeight="1" x14ac:dyDescent="0.4">
      <c r="A58" s="19" t="s">
        <v>98</v>
      </c>
      <c r="B58" s="7" t="s">
        <v>134</v>
      </c>
      <c r="C58" s="8" t="str">
        <f>"Mlflow_Exp_NIP_" &amp; C49 &amp; C2</f>
        <v>Mlflow_Exp_NIP_Cl_P1</v>
      </c>
      <c r="D58" s="8" t="str">
        <f t="shared" ref="D58:N58" si="44">"Mlflow_Exp_NIP_" &amp; D49 &amp; D2</f>
        <v>Mlflow_Exp_NIP_Cl_P2</v>
      </c>
      <c r="E58" s="8" t="str">
        <f t="shared" si="44"/>
        <v>Mlflow_Exp_NIP_Cl_P3</v>
      </c>
      <c r="F58" s="8" t="str">
        <f t="shared" si="44"/>
        <v>Mlflow_Exp_NIP_Cl_P4</v>
      </c>
      <c r="G58" s="8" t="str">
        <f t="shared" si="44"/>
        <v>Mlflow_Exp_NIP_Cl_P5</v>
      </c>
      <c r="H58" s="8" t="str">
        <f t="shared" si="44"/>
        <v>Mlflow_Exp_NIP_Cl_P6</v>
      </c>
      <c r="I58" s="8" t="str">
        <f t="shared" si="44"/>
        <v>Mlflow_Exp_NIP_Cl_P7</v>
      </c>
      <c r="J58" s="8" t="str">
        <f t="shared" si="44"/>
        <v>Mlflow_Exp_NIP_Cl_P8</v>
      </c>
      <c r="K58" s="8" t="str">
        <f t="shared" si="44"/>
        <v>Mlflow_Exp_NIP_Cl_P9</v>
      </c>
      <c r="L58" s="8" t="str">
        <f t="shared" si="44"/>
        <v>Mlflow_Exp_NIP_Cl_P10</v>
      </c>
      <c r="M58" s="8" t="str">
        <f t="shared" si="44"/>
        <v>Mlflow_Exp_NIP_Cl_P11</v>
      </c>
      <c r="N58" s="8" t="str">
        <f t="shared" si="44"/>
        <v>Mlflow_Exp_NIP_Cl_P12</v>
      </c>
      <c r="S58" t="s">
        <v>118</v>
      </c>
    </row>
    <row r="59" spans="1:20" ht="15.55" customHeight="1" x14ac:dyDescent="0.4">
      <c r="A59" s="19" t="s">
        <v>76</v>
      </c>
      <c r="B59" s="4" t="s">
        <v>54</v>
      </c>
      <c r="C59" s="3" t="b">
        <v>1</v>
      </c>
      <c r="D59" s="1" t="b">
        <f t="shared" ref="D59:N59" si="45">C59</f>
        <v>1</v>
      </c>
      <c r="E59" s="1" t="b">
        <f t="shared" si="45"/>
        <v>1</v>
      </c>
      <c r="F59" s="1" t="b">
        <f t="shared" si="45"/>
        <v>1</v>
      </c>
      <c r="G59" s="1" t="b">
        <f t="shared" si="45"/>
        <v>1</v>
      </c>
      <c r="H59" s="1" t="b">
        <f t="shared" si="45"/>
        <v>1</v>
      </c>
      <c r="I59" s="1" t="b">
        <f t="shared" si="45"/>
        <v>1</v>
      </c>
      <c r="J59" s="1" t="b">
        <f t="shared" si="45"/>
        <v>1</v>
      </c>
      <c r="K59" s="1" t="b">
        <f t="shared" si="45"/>
        <v>1</v>
      </c>
      <c r="L59" s="1" t="b">
        <f t="shared" si="45"/>
        <v>1</v>
      </c>
      <c r="M59" s="1" t="b">
        <f t="shared" si="45"/>
        <v>1</v>
      </c>
      <c r="N59" s="1" t="b">
        <f t="shared" si="45"/>
        <v>1</v>
      </c>
    </row>
    <row r="60" spans="1:20" ht="15.55" customHeight="1" x14ac:dyDescent="0.4">
      <c r="A60" s="19" t="s">
        <v>76</v>
      </c>
      <c r="B60" s="4" t="s">
        <v>55</v>
      </c>
      <c r="C60" s="5" t="s">
        <v>82</v>
      </c>
      <c r="D60" s="1" t="str">
        <f t="shared" ref="D60:N60" si="46">C60</f>
        <v>Max_J_V1</v>
      </c>
      <c r="E60" s="1" t="str">
        <f t="shared" si="46"/>
        <v>Max_J_V1</v>
      </c>
      <c r="F60" s="1" t="str">
        <f t="shared" si="46"/>
        <v>Max_J_V1</v>
      </c>
      <c r="G60" s="1" t="str">
        <f t="shared" si="46"/>
        <v>Max_J_V1</v>
      </c>
      <c r="H60" s="1" t="str">
        <f t="shared" si="46"/>
        <v>Max_J_V1</v>
      </c>
      <c r="I60" s="1" t="str">
        <f t="shared" si="46"/>
        <v>Max_J_V1</v>
      </c>
      <c r="J60" s="1" t="str">
        <f t="shared" si="46"/>
        <v>Max_J_V1</v>
      </c>
      <c r="K60" s="1" t="str">
        <f t="shared" si="46"/>
        <v>Max_J_V1</v>
      </c>
      <c r="L60" s="1" t="str">
        <f t="shared" si="46"/>
        <v>Max_J_V1</v>
      </c>
      <c r="M60" s="1" t="str">
        <f t="shared" si="46"/>
        <v>Max_J_V1</v>
      </c>
      <c r="N60" s="1" t="str">
        <f t="shared" si="46"/>
        <v>Max_J_V1</v>
      </c>
    </row>
    <row r="61" spans="1:20" ht="15.55" customHeight="1" x14ac:dyDescent="0.4">
      <c r="A61" s="19" t="s">
        <v>98</v>
      </c>
      <c r="B61" s="4" t="s">
        <v>56</v>
      </c>
      <c r="C61" s="5" t="str">
        <f>"Mlflow_Exp_NIP_CPP" &amp; C2</f>
        <v>Mlflow_Exp_NIP_CPP1</v>
      </c>
      <c r="D61" s="5" t="str">
        <f t="shared" ref="D61:N61" si="47">"Mlflow_Exp_NIP_CPP" &amp; D2</f>
        <v>Mlflow_Exp_NIP_CPP2</v>
      </c>
      <c r="E61" s="5" t="str">
        <f t="shared" si="47"/>
        <v>Mlflow_Exp_NIP_CPP3</v>
      </c>
      <c r="F61" s="5" t="str">
        <f t="shared" si="47"/>
        <v>Mlflow_Exp_NIP_CPP4</v>
      </c>
      <c r="G61" s="5" t="str">
        <f t="shared" si="47"/>
        <v>Mlflow_Exp_NIP_CPP5</v>
      </c>
      <c r="H61" s="5" t="str">
        <f t="shared" si="47"/>
        <v>Mlflow_Exp_NIP_CPP6</v>
      </c>
      <c r="I61" s="5" t="str">
        <f t="shared" si="47"/>
        <v>Mlflow_Exp_NIP_CPP7</v>
      </c>
      <c r="J61" s="5" t="str">
        <f t="shared" si="47"/>
        <v>Mlflow_Exp_NIP_CPP8</v>
      </c>
      <c r="K61" s="5" t="str">
        <f t="shared" si="47"/>
        <v>Mlflow_Exp_NIP_CPP9</v>
      </c>
      <c r="L61" s="5" t="str">
        <f t="shared" si="47"/>
        <v>Mlflow_Exp_NIP_CPP10</v>
      </c>
      <c r="M61" s="5" t="str">
        <f t="shared" si="47"/>
        <v>Mlflow_Exp_NIP_CPP11</v>
      </c>
      <c r="N61" s="5" t="str">
        <f t="shared" si="47"/>
        <v>Mlflow_Exp_NIP_CPP12</v>
      </c>
      <c r="S61" t="s">
        <v>118</v>
      </c>
    </row>
    <row r="62" spans="1:20" ht="15.55" customHeight="1" x14ac:dyDescent="0.4">
      <c r="A62" s="19" t="s">
        <v>76</v>
      </c>
      <c r="B62" s="4" t="s">
        <v>57</v>
      </c>
      <c r="C62" s="6" t="str">
        <f>"SELECT Table_Acte.[NIP] " &amp;  " ,Table_Cluster." &amp; C49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[ICO_Activite].[dbo].[Mlflow_Exp_NIP_Cl_P1] as Table_Cluster
  WHERE Table_Cluster.NIP = Table_Acte.NIP
  ORDER BY Clust asc ,Table_Acte.[J_Parcours_V1] desc, Table_Acte.[NIP]</v>
      </c>
      <c r="D62" s="6" t="str">
        <f t="shared" ref="D62:N62" si="48">"SELECT Table_Acte.[NIP] " &amp;  " ,Table_Cluster." &amp; D49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D58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[ICO_Activite].[dbo].[Mlflow_Exp_NIP_Cl_P2] as Table_Cluster
  WHERE Table_Cluster.NIP = Table_Acte.NIP
  ORDER BY Clust asc ,Table_Acte.[J_Parcours_V1] desc, Table_Acte.[NIP]</v>
      </c>
      <c r="E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[ICO_Activite].[dbo].[Mlflow_Exp_NIP_Cl_P3] as Table_Cluster
  WHERE Table_Cluster.NIP = Table_Acte.NIP
  ORDER BY Clust asc ,Table_Acte.[J_Parcours_V1] desc, Table_Acte.[NIP]</v>
      </c>
      <c r="F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[ICO_Activite].[dbo].[Mlflow_Exp_NIP_Cl_P4] as Table_Cluster
  WHERE Table_Cluster.NIP = Table_Acte.NIP
  ORDER BY Clust asc ,Table_Acte.[J_Parcours_V1] desc, Table_Acte.[NIP]</v>
      </c>
      <c r="G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[ICO_Activite].[dbo].[Mlflow_Exp_NIP_Cl_P5] as Table_Cluster
  WHERE Table_Cluster.NIP = Table_Acte.NIP
  ORDER BY Clust asc ,Table_Acte.[J_Parcours_V1] desc, Table_Acte.[NIP]</v>
      </c>
      <c r="H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[ICO_Activite].[dbo].[Mlflow_Exp_NIP_Cl_P6] as Table_Cluster
  WHERE Table_Cluster.NIP = Table_Acte.NIP
  ORDER BY Clust asc ,Table_Acte.[J_Parcours_V1] desc, Table_Acte.[NIP]</v>
      </c>
      <c r="I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[ICO_Activite].[dbo].[Mlflow_Exp_NIP_Cl_P7] as Table_Cluster
  WHERE Table_Cluster.NIP = Table_Acte.NIP
  ORDER BY Clust asc ,Table_Acte.[J_Parcours_V1] desc, Table_Acte.[NIP]</v>
      </c>
      <c r="J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[ICO_Activite].[dbo].[Mlflow_Exp_NIP_Cl_P8] as Table_Cluster
  WHERE Table_Cluster.NIP = Table_Acte.NIP
  ORDER BY Clust asc ,Table_Acte.[J_Parcours_V1] desc, Table_Acte.[NIP]</v>
      </c>
      <c r="K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[ICO_Activite].[dbo].[Mlflow_Exp_NIP_Cl_P9] as Table_Cluster
  WHERE Table_Cluster.NIP = Table_Acte.NIP
  ORDER BY Clust asc ,Table_Acte.[J_Parcours_V1] desc, Table_Acte.[NIP]</v>
      </c>
      <c r="L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[ICO_Activite].[dbo].[Mlflow_Exp_NIP_Cl_P10] as Table_Cluster
  WHERE Table_Cluster.NIP = Table_Acte.NIP
  ORDER BY Clust asc ,Table_Acte.[J_Parcours_V1] desc, Table_Acte.[NIP]</v>
      </c>
      <c r="M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[ICO_Activite].[dbo].[Mlflow_Exp_NIP_Cl_P11] as Table_Cluster
  WHERE Table_Cluster.NIP = Table_Acte.NIP
  ORDER BY Clust asc ,Table_Acte.[J_Parcours_V1] desc, Table_Acte.[NIP]</v>
      </c>
      <c r="N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[ICO_Activite].[dbo].[Mlflow_Exp_NIP_Cl_P12] as Table_Cluster
  WHERE Table_Cluster.NIP = Table_Acte.NIP
  ORDER BY Clust asc ,Table_Acte.[J_Parcours_V1] desc, Table_Acte.[NIP]</v>
      </c>
    </row>
    <row r="63" spans="1:20" ht="15.55" customHeight="1" x14ac:dyDescent="0.4">
      <c r="A63" s="19" t="s">
        <v>76</v>
      </c>
      <c r="B63" s="4" t="s">
        <v>58</v>
      </c>
      <c r="C63" s="5" t="s">
        <v>83</v>
      </c>
      <c r="D63" s="1" t="str">
        <f t="shared" ref="D63:N63" si="49">C63</f>
        <v>Phase</v>
      </c>
      <c r="E63" s="1" t="str">
        <f t="shared" si="49"/>
        <v>Phase</v>
      </c>
      <c r="F63" s="1" t="str">
        <f t="shared" si="49"/>
        <v>Phase</v>
      </c>
      <c r="G63" s="1" t="str">
        <f t="shared" si="49"/>
        <v>Phase</v>
      </c>
      <c r="H63" s="1" t="str">
        <f t="shared" si="49"/>
        <v>Phase</v>
      </c>
      <c r="I63" s="1" t="str">
        <f t="shared" si="49"/>
        <v>Phase</v>
      </c>
      <c r="J63" s="1" t="str">
        <f t="shared" si="49"/>
        <v>Phase</v>
      </c>
      <c r="K63" s="1" t="str">
        <f t="shared" si="49"/>
        <v>Phase</v>
      </c>
      <c r="L63" s="1" t="str">
        <f t="shared" si="49"/>
        <v>Phase</v>
      </c>
      <c r="M63" s="1" t="str">
        <f t="shared" si="49"/>
        <v>Phase</v>
      </c>
      <c r="N63" s="1" t="str">
        <f t="shared" si="49"/>
        <v>Phase</v>
      </c>
    </row>
    <row r="64" spans="1:20" ht="15.55" customHeight="1" x14ac:dyDescent="0.4">
      <c r="A64" s="19" t="s">
        <v>76</v>
      </c>
      <c r="B64" s="4" t="s">
        <v>59</v>
      </c>
      <c r="C64" s="5" t="s">
        <v>84</v>
      </c>
      <c r="D64" s="1" t="str">
        <f t="shared" ref="D64:N64" si="50">C64</f>
        <v>Traitement</v>
      </c>
      <c r="E64" s="1" t="str">
        <f t="shared" si="50"/>
        <v>Traitement</v>
      </c>
      <c r="F64" s="1" t="str">
        <f t="shared" si="50"/>
        <v>Traitement</v>
      </c>
      <c r="G64" s="1" t="str">
        <f t="shared" si="50"/>
        <v>Traitement</v>
      </c>
      <c r="H64" s="1" t="str">
        <f t="shared" si="50"/>
        <v>Traitement</v>
      </c>
      <c r="I64" s="1" t="str">
        <f t="shared" si="50"/>
        <v>Traitement</v>
      </c>
      <c r="J64" s="1" t="str">
        <f t="shared" si="50"/>
        <v>Traitement</v>
      </c>
      <c r="K64" s="1" t="str">
        <f t="shared" si="50"/>
        <v>Traitement</v>
      </c>
      <c r="L64" s="1" t="str">
        <f t="shared" si="50"/>
        <v>Traitement</v>
      </c>
      <c r="M64" s="1" t="str">
        <f t="shared" si="50"/>
        <v>Traitement</v>
      </c>
      <c r="N64" s="1" t="str">
        <f t="shared" si="50"/>
        <v>Traitement</v>
      </c>
    </row>
    <row r="65" spans="1:18" ht="15.55" customHeight="1" x14ac:dyDescent="0.4">
      <c r="A65" s="19" t="s">
        <v>76</v>
      </c>
      <c r="B65" s="4" t="s">
        <v>138</v>
      </c>
      <c r="C65" s="5" t="str">
        <f>C49</f>
        <v>Cl_P</v>
      </c>
      <c r="D65" s="5" t="str">
        <f t="shared" ref="D65:N65" si="51">D49</f>
        <v>Cl_P</v>
      </c>
      <c r="E65" s="5" t="str">
        <f t="shared" si="51"/>
        <v>Cl_P</v>
      </c>
      <c r="F65" s="5" t="str">
        <f t="shared" si="51"/>
        <v>Cl_P</v>
      </c>
      <c r="G65" s="5" t="str">
        <f t="shared" si="51"/>
        <v>Cl_P</v>
      </c>
      <c r="H65" s="5" t="str">
        <f t="shared" si="51"/>
        <v>Cl_P</v>
      </c>
      <c r="I65" s="5" t="str">
        <f t="shared" si="51"/>
        <v>Cl_P</v>
      </c>
      <c r="J65" s="5" t="str">
        <f t="shared" si="51"/>
        <v>Cl_P</v>
      </c>
      <c r="K65" s="5" t="str">
        <f t="shared" si="51"/>
        <v>Cl_P</v>
      </c>
      <c r="L65" s="5" t="str">
        <f t="shared" si="51"/>
        <v>Cl_P</v>
      </c>
      <c r="M65" s="5" t="str">
        <f t="shared" si="51"/>
        <v>Cl_P</v>
      </c>
      <c r="N65" s="5" t="str">
        <f t="shared" si="51"/>
        <v>Cl_P</v>
      </c>
    </row>
    <row r="66" spans="1:18" ht="15.55" customHeight="1" x14ac:dyDescent="0.4">
      <c r="A66" s="19" t="s">
        <v>76</v>
      </c>
      <c r="B66" s="4" t="s">
        <v>136</v>
      </c>
      <c r="C66" s="5" t="str">
        <f>C58</f>
        <v>Mlflow_Exp_NIP_Cl_P1</v>
      </c>
      <c r="D66" s="5" t="str">
        <f t="shared" ref="D66:N66" si="52">D58</f>
        <v>Mlflow_Exp_NIP_Cl_P2</v>
      </c>
      <c r="E66" s="5" t="str">
        <f t="shared" si="52"/>
        <v>Mlflow_Exp_NIP_Cl_P3</v>
      </c>
      <c r="F66" s="5" t="str">
        <f t="shared" si="52"/>
        <v>Mlflow_Exp_NIP_Cl_P4</v>
      </c>
      <c r="G66" s="5" t="str">
        <f t="shared" si="52"/>
        <v>Mlflow_Exp_NIP_Cl_P5</v>
      </c>
      <c r="H66" s="5" t="str">
        <f t="shared" si="52"/>
        <v>Mlflow_Exp_NIP_Cl_P6</v>
      </c>
      <c r="I66" s="5" t="str">
        <f t="shared" si="52"/>
        <v>Mlflow_Exp_NIP_Cl_P7</v>
      </c>
      <c r="J66" s="5" t="str">
        <f t="shared" si="52"/>
        <v>Mlflow_Exp_NIP_Cl_P8</v>
      </c>
      <c r="K66" s="5" t="str">
        <f t="shared" si="52"/>
        <v>Mlflow_Exp_NIP_Cl_P9</v>
      </c>
      <c r="L66" s="5" t="str">
        <f t="shared" si="52"/>
        <v>Mlflow_Exp_NIP_Cl_P10</v>
      </c>
      <c r="M66" s="5" t="str">
        <f t="shared" si="52"/>
        <v>Mlflow_Exp_NIP_Cl_P11</v>
      </c>
      <c r="N66" s="5" t="str">
        <f t="shared" si="52"/>
        <v>Mlflow_Exp_NIP_Cl_P12</v>
      </c>
    </row>
    <row r="67" spans="1:18" ht="15.55" customHeight="1" x14ac:dyDescent="0.4">
      <c r="A67" s="19" t="s">
        <v>76</v>
      </c>
      <c r="B67" s="4" t="s">
        <v>139</v>
      </c>
      <c r="C67" s="10" t="str">
        <f>C40</f>
        <v>Cl_T</v>
      </c>
      <c r="D67" s="10" t="str">
        <f t="shared" ref="D67:N67" si="53">D40</f>
        <v>Cl_T</v>
      </c>
      <c r="E67" s="10" t="str">
        <f t="shared" si="53"/>
        <v>Cl_T</v>
      </c>
      <c r="F67" s="10" t="str">
        <f t="shared" si="53"/>
        <v>Cl_T</v>
      </c>
      <c r="G67" s="10" t="str">
        <f t="shared" si="53"/>
        <v>Cl_T</v>
      </c>
      <c r="H67" s="10" t="str">
        <f t="shared" si="53"/>
        <v>Cl_T</v>
      </c>
      <c r="I67" s="10" t="str">
        <f t="shared" si="53"/>
        <v>Cl_T</v>
      </c>
      <c r="J67" s="10" t="str">
        <f t="shared" si="53"/>
        <v>Cl_T</v>
      </c>
      <c r="K67" s="10" t="str">
        <f t="shared" si="53"/>
        <v>Cl_T</v>
      </c>
      <c r="L67" s="10" t="str">
        <f t="shared" si="53"/>
        <v>Cl_T</v>
      </c>
      <c r="M67" s="10" t="str">
        <f t="shared" si="53"/>
        <v>Cl_T</v>
      </c>
      <c r="N67" s="10" t="str">
        <f t="shared" si="53"/>
        <v>Cl_T</v>
      </c>
    </row>
    <row r="68" spans="1:18" ht="15.55" customHeight="1" x14ac:dyDescent="0.4">
      <c r="A68" s="19" t="s">
        <v>76</v>
      </c>
      <c r="B68" s="4" t="s">
        <v>137</v>
      </c>
      <c r="C68" s="10" t="str">
        <f>C46</f>
        <v>Mlflow_Exp_NIP_Cl_T1</v>
      </c>
      <c r="D68" s="10" t="str">
        <f t="shared" ref="D68:N68" si="54">D46</f>
        <v>Mlflow_Exp_NIP_Cl_T2</v>
      </c>
      <c r="E68" s="10" t="str">
        <f t="shared" si="54"/>
        <v>Mlflow_Exp_NIP_Cl_T3</v>
      </c>
      <c r="F68" s="10" t="str">
        <f t="shared" si="54"/>
        <v>Mlflow_Exp_NIP_Cl_T4</v>
      </c>
      <c r="G68" s="10" t="str">
        <f t="shared" si="54"/>
        <v>Mlflow_Exp_NIP_Cl_T5</v>
      </c>
      <c r="H68" s="10" t="str">
        <f t="shared" si="54"/>
        <v>Mlflow_Exp_NIP_Cl_T6</v>
      </c>
      <c r="I68" s="10" t="str">
        <f t="shared" si="54"/>
        <v>Mlflow_Exp_NIP_Cl_T7</v>
      </c>
      <c r="J68" s="10" t="str">
        <f t="shared" si="54"/>
        <v>Mlflow_Exp_NIP_Cl_T8</v>
      </c>
      <c r="K68" s="10" t="str">
        <f t="shared" si="54"/>
        <v>Mlflow_Exp_NIP_Cl_T9</v>
      </c>
      <c r="L68" s="10" t="str">
        <f t="shared" si="54"/>
        <v>Mlflow_Exp_NIP_Cl_T10</v>
      </c>
      <c r="M68" s="10" t="str">
        <f t="shared" si="54"/>
        <v>Mlflow_Exp_NIP_Cl_T11</v>
      </c>
      <c r="N68" s="10" t="str">
        <f t="shared" si="54"/>
        <v>Mlflow_Exp_NIP_Cl_T12</v>
      </c>
    </row>
    <row r="69" spans="1:18" ht="15.55" customHeight="1" x14ac:dyDescent="0.4">
      <c r="A69" s="19" t="s">
        <v>76</v>
      </c>
      <c r="B69" s="24" t="s">
        <v>140</v>
      </c>
      <c r="C69" s="3" t="b">
        <v>0</v>
      </c>
      <c r="D69" s="25" t="b">
        <v>0</v>
      </c>
      <c r="E69" s="25" t="b">
        <v>0</v>
      </c>
      <c r="F69" s="25" t="b">
        <v>0</v>
      </c>
      <c r="G69" s="25" t="b">
        <v>0</v>
      </c>
      <c r="H69" s="25" t="b">
        <v>0</v>
      </c>
      <c r="I69" s="25" t="b">
        <v>0</v>
      </c>
      <c r="J69" s="25" t="b">
        <v>0</v>
      </c>
      <c r="K69" s="25" t="b">
        <v>0</v>
      </c>
      <c r="L69" s="25" t="b">
        <v>0</v>
      </c>
      <c r="M69" s="25" t="b">
        <v>0</v>
      </c>
      <c r="N69" s="25" t="b">
        <v>0</v>
      </c>
      <c r="O69" s="25" t="b">
        <v>1</v>
      </c>
      <c r="P69" s="25" t="b">
        <v>1</v>
      </c>
      <c r="Q69" s="25" t="b">
        <v>1</v>
      </c>
      <c r="R69" s="25" t="b">
        <v>1</v>
      </c>
    </row>
    <row r="70" spans="1:18" ht="15.55" customHeight="1" x14ac:dyDescent="0.4">
      <c r="A70" s="19" t="s">
        <v>76</v>
      </c>
      <c r="B70" s="24" t="s">
        <v>141</v>
      </c>
      <c r="C70" s="25" t="s">
        <v>82</v>
      </c>
      <c r="D70" s="1" t="str">
        <f>C70</f>
        <v>Max_J_V1</v>
      </c>
      <c r="E70" s="1" t="str">
        <f t="shared" ref="E70:O70" si="55">D70</f>
        <v>Max_J_V1</v>
      </c>
      <c r="F70" s="1" t="str">
        <f t="shared" si="55"/>
        <v>Max_J_V1</v>
      </c>
      <c r="G70" s="1" t="str">
        <f t="shared" si="55"/>
        <v>Max_J_V1</v>
      </c>
      <c r="H70" s="1" t="str">
        <f t="shared" si="55"/>
        <v>Max_J_V1</v>
      </c>
      <c r="I70" s="1" t="str">
        <f t="shared" si="55"/>
        <v>Max_J_V1</v>
      </c>
      <c r="J70" s="1" t="str">
        <f t="shared" si="55"/>
        <v>Max_J_V1</v>
      </c>
      <c r="K70" s="1" t="str">
        <f t="shared" si="55"/>
        <v>Max_J_V1</v>
      </c>
      <c r="L70" s="1" t="str">
        <f t="shared" si="55"/>
        <v>Max_J_V1</v>
      </c>
      <c r="M70" s="1" t="str">
        <f t="shared" si="55"/>
        <v>Max_J_V1</v>
      </c>
      <c r="N70" s="1" t="str">
        <f t="shared" si="55"/>
        <v>Max_J_V1</v>
      </c>
      <c r="O70" s="1" t="str">
        <f t="shared" si="55"/>
        <v>Max_J_V1</v>
      </c>
      <c r="P70" s="1" t="str">
        <f t="shared" ref="P70:R70" si="56">O70</f>
        <v>Max_J_V1</v>
      </c>
      <c r="Q70" s="1" t="str">
        <f t="shared" si="56"/>
        <v>Max_J_V1</v>
      </c>
      <c r="R70" s="1" t="str">
        <f t="shared" si="56"/>
        <v>Max_J_V1</v>
      </c>
    </row>
    <row r="71" spans="1:18" ht="15.55" customHeight="1" x14ac:dyDescent="0.4">
      <c r="A71" s="19" t="s">
        <v>76</v>
      </c>
      <c r="B71" s="24" t="s">
        <v>142</v>
      </c>
      <c r="C71" s="25" t="str">
        <f>"Mlflow_Exp_NIP_FPP" &amp; C2</f>
        <v>Mlflow_Exp_NIP_FPP1</v>
      </c>
      <c r="D71" s="1" t="str">
        <f t="shared" ref="D71:R71" si="57">C71</f>
        <v>Mlflow_Exp_NIP_FPP1</v>
      </c>
      <c r="E71" s="1" t="str">
        <f t="shared" si="57"/>
        <v>Mlflow_Exp_NIP_FPP1</v>
      </c>
      <c r="F71" s="1" t="str">
        <f t="shared" si="57"/>
        <v>Mlflow_Exp_NIP_FPP1</v>
      </c>
      <c r="G71" s="1" t="str">
        <f t="shared" si="57"/>
        <v>Mlflow_Exp_NIP_FPP1</v>
      </c>
      <c r="H71" s="1" t="str">
        <f t="shared" si="57"/>
        <v>Mlflow_Exp_NIP_FPP1</v>
      </c>
      <c r="I71" s="1" t="str">
        <f t="shared" si="57"/>
        <v>Mlflow_Exp_NIP_FPP1</v>
      </c>
      <c r="J71" s="1" t="str">
        <f t="shared" si="57"/>
        <v>Mlflow_Exp_NIP_FPP1</v>
      </c>
      <c r="K71" s="1" t="str">
        <f t="shared" si="57"/>
        <v>Mlflow_Exp_NIP_FPP1</v>
      </c>
      <c r="L71" s="1" t="str">
        <f t="shared" si="57"/>
        <v>Mlflow_Exp_NIP_FPP1</v>
      </c>
      <c r="M71" s="1" t="str">
        <f t="shared" si="57"/>
        <v>Mlflow_Exp_NIP_FPP1</v>
      </c>
      <c r="N71" s="1" t="str">
        <f t="shared" si="57"/>
        <v>Mlflow_Exp_NIP_FPP1</v>
      </c>
      <c r="O71" s="1" t="str">
        <f t="shared" si="57"/>
        <v>Mlflow_Exp_NIP_FPP1</v>
      </c>
      <c r="P71" s="1" t="str">
        <f t="shared" si="57"/>
        <v>Mlflow_Exp_NIP_FPP1</v>
      </c>
      <c r="Q71" s="1" t="str">
        <f t="shared" si="57"/>
        <v>Mlflow_Exp_NIP_FPP1</v>
      </c>
      <c r="R71" s="1" t="str">
        <f t="shared" si="57"/>
        <v>Mlflow_Exp_NIP_FPP1</v>
      </c>
    </row>
    <row r="72" spans="1:18" ht="15.55" customHeight="1" x14ac:dyDescent="0.4">
      <c r="A72" s="19" t="s">
        <v>76</v>
      </c>
      <c r="B72" s="24" t="s">
        <v>143</v>
      </c>
      <c r="C72" s="26" t="str">
        <f>"SELECT Table_Acte.[NIP] " &amp;  " ,Table_Cluster." &amp; C59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C68 &amp; "] as Table_Cluster
  WHERE Table_Cluster.NIP = Table_Acte.NIP
  ORDER BY Clust asc ,Table_Acte.[J_Parcours_V1] desc, Table_Acte.[NIP]"</f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D72" s="1" t="str">
        <f t="shared" ref="D72:R72" si="58">C72</f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E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F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G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H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I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J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K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L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M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N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O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P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Q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R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</row>
    <row r="73" spans="1:18" ht="15.55" customHeight="1" x14ac:dyDescent="0.4">
      <c r="A73" s="19" t="s">
        <v>76</v>
      </c>
      <c r="B73" s="24" t="s">
        <v>144</v>
      </c>
      <c r="C73" s="25" t="s">
        <v>83</v>
      </c>
      <c r="D73" s="1" t="str">
        <f t="shared" ref="D73:R73" si="59">C73</f>
        <v>Phase</v>
      </c>
      <c r="E73" s="1" t="str">
        <f t="shared" si="59"/>
        <v>Phase</v>
      </c>
      <c r="F73" s="1" t="str">
        <f t="shared" si="59"/>
        <v>Phase</v>
      </c>
      <c r="G73" s="1" t="str">
        <f t="shared" si="59"/>
        <v>Phase</v>
      </c>
      <c r="H73" s="1" t="str">
        <f t="shared" si="59"/>
        <v>Phase</v>
      </c>
      <c r="I73" s="1" t="str">
        <f t="shared" si="59"/>
        <v>Phase</v>
      </c>
      <c r="J73" s="1" t="str">
        <f t="shared" si="59"/>
        <v>Phase</v>
      </c>
      <c r="K73" s="1" t="str">
        <f t="shared" si="59"/>
        <v>Phase</v>
      </c>
      <c r="L73" s="1" t="str">
        <f t="shared" si="59"/>
        <v>Phase</v>
      </c>
      <c r="M73" s="1" t="str">
        <f t="shared" si="59"/>
        <v>Phase</v>
      </c>
      <c r="N73" s="1" t="str">
        <f t="shared" si="59"/>
        <v>Phase</v>
      </c>
      <c r="O73" s="1" t="str">
        <f t="shared" si="59"/>
        <v>Phase</v>
      </c>
      <c r="P73" s="1" t="str">
        <f t="shared" si="59"/>
        <v>Phase</v>
      </c>
      <c r="Q73" s="1" t="str">
        <f t="shared" si="59"/>
        <v>Phase</v>
      </c>
      <c r="R73" s="1" t="str">
        <f t="shared" si="59"/>
        <v>Phase</v>
      </c>
    </row>
    <row r="74" spans="1:18" ht="15.55" customHeight="1" x14ac:dyDescent="0.4">
      <c r="A74" s="19" t="s">
        <v>76</v>
      </c>
      <c r="B74" s="24" t="s">
        <v>145</v>
      </c>
      <c r="C74" s="25" t="s">
        <v>84</v>
      </c>
      <c r="D74" s="1" t="str">
        <f t="shared" ref="D74:R74" si="60">C74</f>
        <v>Traitement</v>
      </c>
      <c r="E74" s="1" t="str">
        <f t="shared" si="60"/>
        <v>Traitement</v>
      </c>
      <c r="F74" s="1" t="str">
        <f t="shared" si="60"/>
        <v>Traitement</v>
      </c>
      <c r="G74" s="1" t="str">
        <f t="shared" si="60"/>
        <v>Traitement</v>
      </c>
      <c r="H74" s="1" t="str">
        <f t="shared" si="60"/>
        <v>Traitement</v>
      </c>
      <c r="I74" s="1" t="str">
        <f t="shared" si="60"/>
        <v>Traitement</v>
      </c>
      <c r="J74" s="1" t="str">
        <f t="shared" si="60"/>
        <v>Traitement</v>
      </c>
      <c r="K74" s="1" t="str">
        <f t="shared" si="60"/>
        <v>Traitement</v>
      </c>
      <c r="L74" s="1" t="str">
        <f t="shared" si="60"/>
        <v>Traitement</v>
      </c>
      <c r="M74" s="1" t="str">
        <f t="shared" si="60"/>
        <v>Traitement</v>
      </c>
      <c r="N74" s="1" t="str">
        <f t="shared" si="60"/>
        <v>Traitement</v>
      </c>
      <c r="O74" s="1" t="str">
        <f t="shared" si="60"/>
        <v>Traitement</v>
      </c>
      <c r="P74" s="1" t="str">
        <f t="shared" si="60"/>
        <v>Traitement</v>
      </c>
      <c r="Q74" s="1" t="str">
        <f t="shared" si="60"/>
        <v>Traitement</v>
      </c>
      <c r="R74" s="1" t="str">
        <f t="shared" si="60"/>
        <v>Traitement</v>
      </c>
    </row>
    <row r="75" spans="1:18" ht="15.55" customHeight="1" x14ac:dyDescent="0.4">
      <c r="A75" s="19" t="s">
        <v>76</v>
      </c>
      <c r="B75" s="24" t="s">
        <v>146</v>
      </c>
      <c r="C75" s="25" t="s">
        <v>203</v>
      </c>
      <c r="D75" s="27" t="s">
        <v>152</v>
      </c>
    </row>
    <row r="76" spans="1:18" ht="15.55" customHeight="1" x14ac:dyDescent="0.4">
      <c r="A76" s="19" t="s">
        <v>76</v>
      </c>
      <c r="B76" s="24" t="s">
        <v>147</v>
      </c>
      <c r="C76" s="25" t="s">
        <v>204</v>
      </c>
    </row>
    <row r="77" spans="1:18" ht="15.55" customHeight="1" x14ac:dyDescent="0.4">
      <c r="A77" s="19" t="s">
        <v>76</v>
      </c>
      <c r="B77" s="24" t="s">
        <v>148</v>
      </c>
      <c r="C77" s="25" t="s">
        <v>203</v>
      </c>
    </row>
    <row r="78" spans="1:18" ht="15.55" customHeight="1" x14ac:dyDescent="0.4">
      <c r="A78" s="19" t="s">
        <v>76</v>
      </c>
      <c r="B78" s="24" t="s">
        <v>149</v>
      </c>
      <c r="C78" s="25" t="s">
        <v>205</v>
      </c>
    </row>
    <row r="79" spans="1:18" ht="15.55" customHeight="1" x14ac:dyDescent="0.4">
      <c r="A79" s="19" t="s">
        <v>76</v>
      </c>
      <c r="B79" s="24" t="s">
        <v>150</v>
      </c>
      <c r="C79" s="25" t="s">
        <v>203</v>
      </c>
    </row>
    <row r="80" spans="1:18" ht="15.55" customHeight="1" x14ac:dyDescent="0.4">
      <c r="A80" s="19" t="s">
        <v>76</v>
      </c>
      <c r="B80" s="24" t="s">
        <v>151</v>
      </c>
      <c r="C80" s="25" t="s">
        <v>206</v>
      </c>
    </row>
    <row r="81" spans="1:3" ht="15.55" customHeight="1" x14ac:dyDescent="0.4">
      <c r="A81" s="19"/>
      <c r="B81" s="2"/>
      <c r="C81" s="1"/>
    </row>
    <row r="82" spans="1:3" ht="15.55" customHeight="1" x14ac:dyDescent="0.4">
      <c r="A82" s="19"/>
      <c r="B82" s="2"/>
      <c r="C82" s="1"/>
    </row>
    <row r="83" spans="1:3" ht="15.55" customHeight="1" x14ac:dyDescent="0.4">
      <c r="A83" s="19"/>
      <c r="B83" s="2"/>
      <c r="C83" s="1"/>
    </row>
    <row r="84" spans="1:3" ht="15.55" customHeight="1" x14ac:dyDescent="0.4">
      <c r="A84" s="19"/>
      <c r="B84" s="2"/>
      <c r="C84" s="1"/>
    </row>
    <row r="85" spans="1:3" ht="15.55" customHeight="1" x14ac:dyDescent="0.4">
      <c r="A85" s="19"/>
      <c r="B85" s="2"/>
      <c r="C85" s="1"/>
    </row>
    <row r="86" spans="1:3" ht="15.55" customHeight="1" x14ac:dyDescent="0.4">
      <c r="A86" s="19"/>
      <c r="B86" s="2"/>
      <c r="C86" s="1"/>
    </row>
    <row r="87" spans="1:3" ht="15.55" customHeight="1" x14ac:dyDescent="0.4">
      <c r="A87" s="19"/>
      <c r="B87" s="2"/>
      <c r="C87" s="1"/>
    </row>
    <row r="88" spans="1:3" ht="15.55" customHeight="1" x14ac:dyDescent="0.4">
      <c r="A88" s="19"/>
      <c r="B88" s="2"/>
      <c r="C88" s="1"/>
    </row>
    <row r="89" spans="1:3" ht="15.55" customHeight="1" x14ac:dyDescent="0.4">
      <c r="A89" s="19"/>
      <c r="B89" s="2"/>
      <c r="C89" s="1"/>
    </row>
    <row r="90" spans="1:3" ht="15.55" customHeight="1" x14ac:dyDescent="0.4">
      <c r="A90" s="19"/>
      <c r="B90" s="2"/>
      <c r="C90" s="1"/>
    </row>
    <row r="91" spans="1:3" ht="15.55" customHeight="1" x14ac:dyDescent="0.4">
      <c r="A91" s="19"/>
      <c r="B91" s="2"/>
      <c r="C91" s="1"/>
    </row>
    <row r="92" spans="1:3" ht="15.55" customHeight="1" x14ac:dyDescent="0.4">
      <c r="A92" s="19"/>
      <c r="B92" s="2"/>
      <c r="C92" s="1"/>
    </row>
    <row r="93" spans="1:3" ht="15.55" customHeight="1" x14ac:dyDescent="0.4">
      <c r="A93" s="19"/>
      <c r="B93" s="2"/>
      <c r="C93" s="1"/>
    </row>
    <row r="94" spans="1:3" ht="15.55" customHeight="1" x14ac:dyDescent="0.4">
      <c r="A94" s="19"/>
      <c r="B94" s="2"/>
      <c r="C94" s="1"/>
    </row>
    <row r="95" spans="1:3" ht="15.55" customHeight="1" x14ac:dyDescent="0.4">
      <c r="A95" s="19"/>
      <c r="B95" s="2"/>
      <c r="C95" s="1"/>
    </row>
    <row r="96" spans="1:3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  <row r="16386" spans="1:3" ht="15.55" customHeight="1" x14ac:dyDescent="0.4">
      <c r="A16386" s="19"/>
      <c r="B16386" s="2"/>
      <c r="C16386" s="1"/>
    </row>
    <row r="16387" spans="1:3" ht="15.55" customHeight="1" x14ac:dyDescent="0.4">
      <c r="A16387" s="19"/>
      <c r="B16387" s="2"/>
      <c r="C16387" s="1"/>
    </row>
  </sheetData>
  <autoFilter ref="B1:T64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2024-01-04T16:26:09Z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ortSelectedCells_1" visible="true" label="ExportSelectedCells" imageMso="ListMacros" onAction="ExportSelectedCells"/>
      </mso:documentControls>
    </mso:qat>
  </mso:ribbon>
</mso:customUI>
</file>